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5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6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filterPrivacy="1" defaultThemeVersion="124226"/>
  <xr:revisionPtr revIDLastSave="0" documentId="13_ncr:1_{72E9B64D-C9E6-1A4C-AFB0-80C0348427E8}" xr6:coauthVersionLast="47" xr6:coauthVersionMax="47" xr10:uidLastSave="{00000000-0000-0000-0000-000000000000}"/>
  <bookViews>
    <workbookView xWindow="0" yWindow="500" windowWidth="28800" windowHeight="16340" activeTab="4" xr2:uid="{00000000-000D-0000-FFFF-FFFF00000000}"/>
  </bookViews>
  <sheets>
    <sheet name="Global" sheetId="1" r:id="rId1"/>
    <sheet name="North America" sheetId="2" r:id="rId2"/>
    <sheet name="Europe" sheetId="4" r:id="rId3"/>
    <sheet name="Asia-Pacific" sheetId="5" r:id="rId4"/>
    <sheet name="Latin America" sheetId="3" r:id="rId5"/>
    <sheet name="Middle East &amp; Afric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30" i="4"/>
  <c r="C20" i="1"/>
  <c r="C30" i="2"/>
  <c r="C9" i="1"/>
  <c r="D9" i="1"/>
  <c r="E9" i="1"/>
  <c r="F9" i="1"/>
  <c r="G9" i="1"/>
  <c r="H9" i="1"/>
  <c r="I9" i="1"/>
  <c r="J9" i="1"/>
  <c r="K9" i="1"/>
  <c r="L9" i="1"/>
  <c r="M9" i="1"/>
  <c r="N9" i="1"/>
  <c r="C10" i="1"/>
  <c r="D10" i="1"/>
  <c r="E10" i="1"/>
  <c r="F10" i="1"/>
  <c r="G10" i="1"/>
  <c r="H10" i="1"/>
  <c r="I10" i="1"/>
  <c r="J10" i="1"/>
  <c r="K10" i="1"/>
  <c r="L10" i="1"/>
  <c r="M10" i="1"/>
  <c r="N10" i="1"/>
  <c r="C11" i="1"/>
  <c r="D11" i="1"/>
  <c r="E11" i="1"/>
  <c r="F11" i="1"/>
  <c r="G11" i="1"/>
  <c r="H11" i="1"/>
  <c r="I11" i="1"/>
  <c r="J11" i="1"/>
  <c r="K11" i="1"/>
  <c r="L11" i="1"/>
  <c r="M11" i="1"/>
  <c r="N11" i="1"/>
  <c r="C12" i="1"/>
  <c r="D12" i="1"/>
  <c r="E12" i="1"/>
  <c r="F12" i="1"/>
  <c r="G12" i="1"/>
  <c r="H12" i="1"/>
  <c r="I12" i="1"/>
  <c r="J12" i="1"/>
  <c r="K12" i="1"/>
  <c r="L12" i="1"/>
  <c r="M12" i="1"/>
  <c r="N12" i="1"/>
  <c r="C13" i="1"/>
  <c r="D13" i="1"/>
  <c r="F13" i="1"/>
  <c r="G13" i="1"/>
  <c r="H13" i="1"/>
  <c r="I13" i="1"/>
  <c r="J13" i="1"/>
  <c r="K13" i="1"/>
  <c r="L13" i="1"/>
  <c r="M13" i="1"/>
  <c r="N13" i="1"/>
  <c r="C14" i="1"/>
  <c r="D14" i="1"/>
  <c r="E14" i="1"/>
  <c r="F14" i="1"/>
  <c r="G14" i="1"/>
  <c r="H14" i="1"/>
  <c r="I14" i="1"/>
  <c r="J14" i="1"/>
  <c r="K14" i="1"/>
  <c r="L14" i="1"/>
  <c r="M14" i="1"/>
  <c r="N14" i="1"/>
  <c r="C15" i="1"/>
  <c r="D15" i="1"/>
  <c r="E15" i="1"/>
  <c r="F15" i="1"/>
  <c r="G15" i="1"/>
  <c r="H15" i="1"/>
  <c r="I15" i="1"/>
  <c r="J15" i="1"/>
  <c r="K15" i="1"/>
  <c r="L15" i="1"/>
  <c r="M15" i="1"/>
  <c r="N15" i="1"/>
  <c r="C16" i="1"/>
  <c r="D16" i="1"/>
  <c r="E16" i="1"/>
  <c r="F16" i="1"/>
  <c r="G16" i="1"/>
  <c r="H16" i="1"/>
  <c r="I16" i="1"/>
  <c r="J16" i="1"/>
  <c r="K16" i="1"/>
  <c r="L16" i="1"/>
  <c r="M16" i="1"/>
  <c r="N16" i="1"/>
  <c r="C17" i="1"/>
  <c r="D17" i="1"/>
  <c r="E17" i="1"/>
  <c r="F17" i="1"/>
  <c r="G17" i="1"/>
  <c r="H17" i="1"/>
  <c r="I17" i="1"/>
  <c r="J17" i="1"/>
  <c r="K17" i="1"/>
  <c r="L17" i="1"/>
  <c r="M17" i="1"/>
  <c r="N17" i="1"/>
  <c r="C18" i="1"/>
  <c r="D18" i="1"/>
  <c r="E18" i="1"/>
  <c r="F18" i="1"/>
  <c r="G18" i="1"/>
  <c r="H18" i="1"/>
  <c r="I18" i="1"/>
  <c r="J18" i="1"/>
  <c r="K18" i="1"/>
  <c r="L18" i="1"/>
  <c r="M18" i="1"/>
  <c r="N18" i="1"/>
  <c r="D8" i="1"/>
  <c r="E8" i="1"/>
  <c r="F8" i="1"/>
  <c r="G8" i="1"/>
  <c r="H8" i="1"/>
  <c r="I8" i="1"/>
  <c r="J8" i="1"/>
  <c r="K8" i="1"/>
  <c r="L8" i="1"/>
  <c r="M8" i="1"/>
  <c r="N8" i="1"/>
  <c r="C8" i="1"/>
  <c r="C34" i="1"/>
  <c r="C27" i="1"/>
  <c r="AM38" i="2" l="1"/>
  <c r="AL38" i="2"/>
  <c r="O7" i="1"/>
  <c r="AK82" i="6"/>
  <c r="AJ82" i="6"/>
  <c r="AK80" i="6"/>
  <c r="AL80" i="6"/>
  <c r="AK81" i="6"/>
  <c r="AL81" i="6"/>
  <c r="AL82" i="6"/>
  <c r="AJ80" i="6"/>
  <c r="AJ81" i="6"/>
  <c r="AK64" i="6"/>
  <c r="AL64" i="6"/>
  <c r="AJ64" i="6"/>
  <c r="AL42" i="6"/>
  <c r="AK42" i="6"/>
  <c r="AJ42" i="6"/>
  <c r="AL84" i="3"/>
  <c r="AL81" i="3"/>
  <c r="AM81" i="3"/>
  <c r="AL82" i="3"/>
  <c r="AM82" i="3"/>
  <c r="AL83" i="3"/>
  <c r="AM83" i="3"/>
  <c r="AM84" i="3"/>
  <c r="AK81" i="3"/>
  <c r="AK82" i="3"/>
  <c r="AK83" i="3"/>
  <c r="AK84" i="3"/>
  <c r="AL65" i="3"/>
  <c r="AK65" i="3"/>
  <c r="AM65" i="3"/>
  <c r="AM47" i="3"/>
  <c r="AL47" i="3"/>
  <c r="AK47" i="3"/>
  <c r="AK90" i="5"/>
  <c r="AJ85" i="5"/>
  <c r="AK85" i="5"/>
  <c r="AJ86" i="5"/>
  <c r="AK86" i="5"/>
  <c r="AJ87" i="5"/>
  <c r="AK87" i="5"/>
  <c r="AJ88" i="5"/>
  <c r="AK88" i="5"/>
  <c r="AJ89" i="5"/>
  <c r="AK89" i="5"/>
  <c r="AJ90" i="5"/>
  <c r="AI90" i="5"/>
  <c r="AI89" i="5"/>
  <c r="AI85" i="5"/>
  <c r="AI86" i="5"/>
  <c r="AI87" i="5"/>
  <c r="AI88" i="5"/>
  <c r="AK72" i="5"/>
  <c r="AJ66" i="5"/>
  <c r="AI72" i="5"/>
  <c r="AJ72" i="5"/>
  <c r="AK44" i="5"/>
  <c r="AJ44" i="5"/>
  <c r="AI44" i="5"/>
  <c r="AJ77" i="4"/>
  <c r="AJ83" i="4"/>
  <c r="AJ80" i="4"/>
  <c r="AK80" i="4"/>
  <c r="AJ81" i="4"/>
  <c r="AK81" i="4"/>
  <c r="AJ82" i="4"/>
  <c r="AK82" i="4"/>
  <c r="AK83" i="4"/>
  <c r="AI80" i="4"/>
  <c r="AI81" i="4"/>
  <c r="AI82" i="4"/>
  <c r="AI83" i="4"/>
  <c r="AI69" i="4"/>
  <c r="AJ69" i="4"/>
  <c r="AK69" i="4"/>
  <c r="AK44" i="4"/>
  <c r="AJ44" i="4"/>
  <c r="AI44" i="4"/>
  <c r="AM60" i="2"/>
  <c r="AM54" i="2"/>
  <c r="AN60" i="2"/>
  <c r="AL60" i="2"/>
  <c r="AN39" i="2"/>
  <c r="AM39" i="2"/>
  <c r="AL39" i="2"/>
  <c r="AI91" i="1"/>
  <c r="AH87" i="1"/>
  <c r="AH62" i="1"/>
  <c r="AI62" i="1"/>
  <c r="AG62" i="1"/>
  <c r="AI56" i="1"/>
  <c r="AH56" i="1"/>
  <c r="AG56" i="1"/>
  <c r="AI43" i="1"/>
  <c r="AI44" i="1"/>
  <c r="AH44" i="1"/>
  <c r="AG44" i="1"/>
  <c r="AG43" i="1"/>
  <c r="AK78" i="6" l="1"/>
  <c r="AL78" i="6"/>
  <c r="AK79" i="6"/>
  <c r="AL79" i="6"/>
  <c r="AJ78" i="6"/>
  <c r="AJ79" i="6"/>
  <c r="AJ77" i="6"/>
  <c r="AK59" i="6"/>
  <c r="AL59" i="6"/>
  <c r="AK60" i="6"/>
  <c r="AL60" i="6"/>
  <c r="AK61" i="6"/>
  <c r="AL61" i="6"/>
  <c r="AK62" i="6"/>
  <c r="AL62" i="6"/>
  <c r="AK63" i="6"/>
  <c r="AL63" i="6"/>
  <c r="AL58" i="6"/>
  <c r="AK58" i="6"/>
  <c r="AJ63" i="6"/>
  <c r="AJ59" i="6"/>
  <c r="AJ60" i="6"/>
  <c r="AJ61" i="6"/>
  <c r="AJ62" i="6"/>
  <c r="AJ58" i="6"/>
  <c r="AJ41" i="6"/>
  <c r="AL80" i="3"/>
  <c r="AK79" i="3"/>
  <c r="AK80" i="3"/>
  <c r="AK78" i="3"/>
  <c r="AL60" i="3"/>
  <c r="AM60" i="3"/>
  <c r="AL61" i="3"/>
  <c r="AM61" i="3"/>
  <c r="AL62" i="3"/>
  <c r="AM62" i="3"/>
  <c r="AL63" i="3"/>
  <c r="AM63" i="3"/>
  <c r="AL64" i="3"/>
  <c r="AM64" i="3"/>
  <c r="AM59" i="3"/>
  <c r="AL59" i="3"/>
  <c r="AK64" i="3"/>
  <c r="AK60" i="3"/>
  <c r="AK61" i="3"/>
  <c r="AK62" i="3"/>
  <c r="AK63" i="3"/>
  <c r="AK59" i="3"/>
  <c r="AK46" i="3"/>
  <c r="AJ84" i="5"/>
  <c r="AI83" i="5"/>
  <c r="AI84" i="5"/>
  <c r="AI82" i="5"/>
  <c r="AJ82" i="5"/>
  <c r="AJ67" i="5"/>
  <c r="AK67" i="5"/>
  <c r="AJ68" i="5"/>
  <c r="AK68" i="5"/>
  <c r="AJ69" i="5"/>
  <c r="AK69" i="5"/>
  <c r="AJ70" i="5"/>
  <c r="AK70" i="5"/>
  <c r="AJ71" i="5"/>
  <c r="AK71" i="5"/>
  <c r="AK66" i="5"/>
  <c r="AI71" i="5"/>
  <c r="AI67" i="5"/>
  <c r="AI68" i="5"/>
  <c r="AI69" i="5"/>
  <c r="AI70" i="5"/>
  <c r="AI66" i="5"/>
  <c r="AI43" i="5"/>
  <c r="AJ79" i="4"/>
  <c r="AI79" i="4"/>
  <c r="AI78" i="4"/>
  <c r="AI77" i="4"/>
  <c r="AJ68" i="4"/>
  <c r="AJ64" i="4"/>
  <c r="AK64" i="4"/>
  <c r="AJ65" i="4"/>
  <c r="AK65" i="4"/>
  <c r="AJ66" i="4"/>
  <c r="AK66" i="4"/>
  <c r="AJ67" i="4"/>
  <c r="AK67" i="4"/>
  <c r="AK68" i="4"/>
  <c r="AK63" i="4"/>
  <c r="AJ63" i="4"/>
  <c r="AI68" i="4"/>
  <c r="AI64" i="4"/>
  <c r="AI65" i="4"/>
  <c r="AI66" i="4"/>
  <c r="AI67" i="4"/>
  <c r="AI63" i="4"/>
  <c r="AJ43" i="4"/>
  <c r="AI43" i="4"/>
  <c r="AM70" i="2"/>
  <c r="AL71" i="2"/>
  <c r="AL72" i="2"/>
  <c r="AL70" i="2"/>
  <c r="AN58" i="2"/>
  <c r="AM59" i="2"/>
  <c r="AM55" i="2"/>
  <c r="AN55" i="2"/>
  <c r="AM56" i="2"/>
  <c r="AN56" i="2"/>
  <c r="AM57" i="2"/>
  <c r="AN57" i="2"/>
  <c r="AM58" i="2"/>
  <c r="AN59" i="2"/>
  <c r="AL59" i="2"/>
  <c r="AL55" i="2"/>
  <c r="AL56" i="2"/>
  <c r="AL57" i="2"/>
  <c r="AL58" i="2"/>
  <c r="AL54" i="2"/>
  <c r="AH43" i="1"/>
  <c r="AH61" i="1"/>
  <c r="AH57" i="1" l="1"/>
  <c r="AI57" i="1"/>
  <c r="AH58" i="1"/>
  <c r="AI58" i="1"/>
  <c r="AH59" i="1"/>
  <c r="AI59" i="1"/>
  <c r="AH60" i="1"/>
  <c r="AI60" i="1"/>
  <c r="AI61" i="1"/>
  <c r="AG88" i="1"/>
  <c r="AG89" i="1"/>
  <c r="AG90" i="1"/>
  <c r="AG91" i="1"/>
  <c r="AG87" i="1"/>
  <c r="AG61" i="1"/>
  <c r="AG57" i="1"/>
  <c r="AG58" i="1"/>
  <c r="AG59" i="1"/>
  <c r="AG60" i="1"/>
  <c r="AB12" i="1" l="1"/>
  <c r="U18" i="1"/>
  <c r="R16" i="1"/>
  <c r="X17" i="1"/>
  <c r="W18" i="1"/>
  <c r="U16" i="1"/>
  <c r="X15" i="1"/>
  <c r="S16" i="1"/>
  <c r="Y14" i="1"/>
  <c r="W12" i="1"/>
  <c r="AA14" i="1"/>
  <c r="S14" i="1"/>
  <c r="AB13" i="1"/>
  <c r="AA18" i="1"/>
  <c r="S18" i="1"/>
  <c r="Y16" i="1"/>
  <c r="W14" i="1"/>
  <c r="Z13" i="1"/>
  <c r="R13" i="1"/>
  <c r="U12" i="1"/>
  <c r="T12" i="1"/>
  <c r="O12" i="1"/>
  <c r="Y17" i="1"/>
  <c r="T16" i="1"/>
  <c r="Z14" i="1"/>
  <c r="S12" i="1"/>
  <c r="R18" i="1"/>
  <c r="T17" i="1"/>
  <c r="T18" i="1"/>
  <c r="W17" i="1"/>
  <c r="Z16" i="1"/>
  <c r="U15" i="1"/>
  <c r="X14" i="1"/>
  <c r="AA13" i="1"/>
  <c r="S13" i="1"/>
  <c r="V12" i="1"/>
  <c r="R14" i="1"/>
  <c r="AB17" i="1"/>
  <c r="U17" i="1"/>
  <c r="X18" i="1"/>
  <c r="AA17" i="1"/>
  <c r="V16" i="1"/>
  <c r="Y15" i="1"/>
  <c r="AB14" i="1"/>
  <c r="T14" i="1"/>
  <c r="W13" i="1"/>
  <c r="Z12" i="1"/>
  <c r="R17" i="1"/>
  <c r="O16" i="1"/>
  <c r="S17" i="1"/>
  <c r="AB16" i="1"/>
  <c r="W15" i="1"/>
  <c r="AB15" i="1"/>
  <c r="T15" i="1"/>
  <c r="X16" i="1"/>
  <c r="AA15" i="1"/>
  <c r="S15" i="1"/>
  <c r="V14" i="1"/>
  <c r="O14" i="1"/>
  <c r="U13" i="1"/>
  <c r="Y18" i="1"/>
  <c r="W16" i="1"/>
  <c r="Z15" i="1"/>
  <c r="R15" i="1"/>
  <c r="U14" i="1"/>
  <c r="X13" i="1"/>
  <c r="AA12" i="1"/>
  <c r="T13" i="1"/>
  <c r="AA16" i="1"/>
  <c r="V15" i="1"/>
  <c r="Z17" i="1"/>
  <c r="O13" i="1"/>
  <c r="V13" i="1"/>
  <c r="Y12" i="1"/>
  <c r="Z18" i="1"/>
  <c r="V18" i="1"/>
  <c r="X12" i="1"/>
  <c r="Y13" i="1"/>
  <c r="O18" i="1"/>
  <c r="O17" i="1"/>
  <c r="O15" i="1"/>
  <c r="AB18" i="1"/>
  <c r="V17" i="1"/>
  <c r="R12" i="1"/>
  <c r="AN54" i="2"/>
  <c r="AK41" i="6"/>
  <c r="AM71" i="2" l="1"/>
  <c r="AN71" i="2"/>
  <c r="AM72" i="2"/>
  <c r="AN72" i="2"/>
  <c r="AN70" i="2"/>
  <c r="AN38" i="2"/>
  <c r="AK43" i="4"/>
  <c r="AJ78" i="4"/>
  <c r="AK78" i="4"/>
  <c r="AK79" i="4"/>
  <c r="AK77" i="4"/>
  <c r="AK43" i="5"/>
  <c r="AJ43" i="5"/>
  <c r="AJ83" i="5"/>
  <c r="AK83" i="5"/>
  <c r="AK84" i="5"/>
  <c r="AK82" i="5"/>
  <c r="AM46" i="3"/>
  <c r="AL46" i="3"/>
  <c r="AL79" i="3"/>
  <c r="AM79" i="3"/>
  <c r="AM80" i="3"/>
  <c r="AM78" i="3"/>
  <c r="AL78" i="3"/>
  <c r="AL77" i="6"/>
  <c r="AK77" i="6"/>
  <c r="AL41" i="6"/>
  <c r="AH88" i="1"/>
  <c r="AI88" i="1"/>
  <c r="AH89" i="1"/>
  <c r="AI89" i="1"/>
  <c r="AH90" i="1"/>
  <c r="AI90" i="1"/>
  <c r="AH91" i="1"/>
  <c r="AI87" i="1"/>
  <c r="O11" i="1" l="1"/>
  <c r="Y11" i="1"/>
  <c r="X11" i="1"/>
  <c r="AB11" i="1"/>
  <c r="AA11" i="1"/>
  <c r="V11" i="1"/>
  <c r="T11" i="1"/>
  <c r="W11" i="1"/>
  <c r="S11" i="1"/>
  <c r="U11" i="1"/>
  <c r="R11" i="1"/>
  <c r="Z11" i="1"/>
  <c r="O10" i="1" l="1"/>
  <c r="R10" i="1"/>
  <c r="Y10" i="1"/>
  <c r="W10" i="1"/>
  <c r="V10" i="1"/>
  <c r="AA10" i="1"/>
  <c r="S10" i="1"/>
  <c r="AB10" i="1"/>
  <c r="U10" i="1"/>
  <c r="T10" i="1"/>
  <c r="X10" i="1"/>
  <c r="Z10" i="1"/>
  <c r="D29" i="1"/>
  <c r="E29" i="1"/>
  <c r="F29" i="1"/>
  <c r="G29" i="1"/>
  <c r="H29" i="1"/>
  <c r="I29" i="1"/>
  <c r="J29" i="1"/>
  <c r="K29" i="1"/>
  <c r="L29" i="1"/>
  <c r="M29" i="1"/>
  <c r="N29" i="1"/>
  <c r="C29" i="1"/>
  <c r="O8" i="1"/>
  <c r="D20" i="1"/>
  <c r="E20" i="1"/>
  <c r="F20" i="1"/>
  <c r="G20" i="1"/>
  <c r="H20" i="1"/>
  <c r="I20" i="1"/>
  <c r="J20" i="1"/>
  <c r="K20" i="1"/>
  <c r="L20" i="1"/>
  <c r="M20" i="1"/>
  <c r="N20" i="1"/>
  <c r="AB7" i="1"/>
  <c r="O29" i="1" l="1"/>
  <c r="O20" i="1"/>
  <c r="O9" i="1"/>
  <c r="C25" i="1"/>
  <c r="C23" i="1"/>
  <c r="C26" i="1"/>
  <c r="C24" i="1"/>
  <c r="D23" i="1"/>
  <c r="D24" i="1"/>
  <c r="D26" i="1"/>
  <c r="D27" i="1"/>
  <c r="D25" i="1"/>
  <c r="E25" i="1"/>
  <c r="E26" i="1"/>
  <c r="E23" i="1"/>
  <c r="E27" i="1"/>
  <c r="E24" i="1"/>
  <c r="M25" i="1"/>
  <c r="M26" i="1"/>
  <c r="M27" i="1"/>
  <c r="M23" i="1"/>
  <c r="M24" i="1"/>
  <c r="L26" i="1"/>
  <c r="L23" i="1"/>
  <c r="L24" i="1"/>
  <c r="L25" i="1"/>
  <c r="L27" i="1"/>
  <c r="K24" i="1"/>
  <c r="K26" i="1"/>
  <c r="K23" i="1"/>
  <c r="K25" i="1"/>
  <c r="K27" i="1"/>
  <c r="J23" i="1"/>
  <c r="J26" i="1"/>
  <c r="J24" i="1"/>
  <c r="J27" i="1"/>
  <c r="J25" i="1"/>
  <c r="I23" i="1"/>
  <c r="I26" i="1"/>
  <c r="I25" i="1"/>
  <c r="I27" i="1"/>
  <c r="I24" i="1"/>
  <c r="H25" i="1"/>
  <c r="H24" i="1"/>
  <c r="H23" i="1"/>
  <c r="H26" i="1"/>
  <c r="H27" i="1"/>
  <c r="N25" i="1"/>
  <c r="N23" i="1"/>
  <c r="N24" i="1"/>
  <c r="N26" i="1"/>
  <c r="N27" i="1"/>
  <c r="G22" i="1"/>
  <c r="G24" i="1"/>
  <c r="G27" i="1"/>
  <c r="G25" i="1"/>
  <c r="G26" i="1"/>
  <c r="G23" i="1"/>
  <c r="F26" i="1"/>
  <c r="F23" i="1"/>
  <c r="F25" i="1"/>
  <c r="F24" i="1"/>
  <c r="F27" i="1"/>
  <c r="C7" i="6"/>
  <c r="C33" i="1"/>
  <c r="C7" i="3" s="1"/>
  <c r="C32" i="1"/>
  <c r="C7" i="5" s="1"/>
  <c r="D33" i="1"/>
  <c r="D7" i="3" s="1"/>
  <c r="D34" i="1"/>
  <c r="D7" i="6" s="1"/>
  <c r="D32" i="1"/>
  <c r="D7" i="5" s="1"/>
  <c r="R7" i="5" s="1"/>
  <c r="E32" i="1"/>
  <c r="E7" i="5" s="1"/>
  <c r="E33" i="1"/>
  <c r="E7" i="3" s="1"/>
  <c r="E34" i="1"/>
  <c r="E7" i="6" s="1"/>
  <c r="M33" i="1"/>
  <c r="M7" i="3" s="1"/>
  <c r="M32" i="1"/>
  <c r="M7" i="5" s="1"/>
  <c r="M34" i="1"/>
  <c r="M7" i="6" s="1"/>
  <c r="L34" i="1"/>
  <c r="L7" i="6" s="1"/>
  <c r="L33" i="1"/>
  <c r="L7" i="3" s="1"/>
  <c r="L32" i="1"/>
  <c r="L7" i="5" s="1"/>
  <c r="K34" i="1"/>
  <c r="K7" i="6" s="1"/>
  <c r="K32" i="1"/>
  <c r="K7" i="5" s="1"/>
  <c r="K33" i="1"/>
  <c r="K7" i="3" s="1"/>
  <c r="J32" i="1"/>
  <c r="J7" i="5" s="1"/>
  <c r="J33" i="1"/>
  <c r="J7" i="3" s="1"/>
  <c r="J34" i="1"/>
  <c r="J7" i="6" s="1"/>
  <c r="I32" i="1"/>
  <c r="I7" i="5" s="1"/>
  <c r="I34" i="1"/>
  <c r="I7" i="6" s="1"/>
  <c r="I33" i="1"/>
  <c r="I7" i="3" s="1"/>
  <c r="H32" i="1"/>
  <c r="H7" i="5" s="1"/>
  <c r="H33" i="1"/>
  <c r="H7" i="3" s="1"/>
  <c r="H34" i="1"/>
  <c r="H7" i="6" s="1"/>
  <c r="G32" i="1"/>
  <c r="G7" i="5" s="1"/>
  <c r="G33" i="1"/>
  <c r="G7" i="3" s="1"/>
  <c r="G34" i="1"/>
  <c r="G7" i="6" s="1"/>
  <c r="N32" i="1"/>
  <c r="N7" i="5" s="1"/>
  <c r="O7" i="5" s="1"/>
  <c r="N33" i="1"/>
  <c r="N7" i="3" s="1"/>
  <c r="N34" i="1"/>
  <c r="N7" i="6" s="1"/>
  <c r="F32" i="1"/>
  <c r="F7" i="5" s="1"/>
  <c r="F33" i="1"/>
  <c r="F7" i="3" s="1"/>
  <c r="F34" i="1"/>
  <c r="F7" i="6" s="1"/>
  <c r="L21" i="1"/>
  <c r="L22" i="1"/>
  <c r="D21" i="1"/>
  <c r="D22" i="1"/>
  <c r="I22" i="1"/>
  <c r="I21" i="1"/>
  <c r="J21" i="1"/>
  <c r="J22" i="1"/>
  <c r="AB9" i="1"/>
  <c r="F21" i="1"/>
  <c r="N21" i="1"/>
  <c r="G21" i="1"/>
  <c r="C22" i="1"/>
  <c r="K22" i="1"/>
  <c r="H21" i="1"/>
  <c r="E22" i="1"/>
  <c r="M22" i="1"/>
  <c r="F22" i="1"/>
  <c r="N22" i="1"/>
  <c r="C21" i="1"/>
  <c r="K21" i="1"/>
  <c r="H22" i="1"/>
  <c r="AB8" i="1"/>
  <c r="E21" i="1"/>
  <c r="M21" i="1"/>
  <c r="AB20" i="1"/>
  <c r="K13" i="6" l="1"/>
  <c r="K18" i="6"/>
  <c r="K15" i="6"/>
  <c r="K12" i="6"/>
  <c r="K16" i="6"/>
  <c r="K14" i="6"/>
  <c r="K17" i="6"/>
  <c r="L13" i="5"/>
  <c r="L14" i="5"/>
  <c r="L16" i="5"/>
  <c r="L12" i="5"/>
  <c r="L15" i="5"/>
  <c r="L17" i="5"/>
  <c r="L18" i="5"/>
  <c r="L12" i="3"/>
  <c r="L13" i="3"/>
  <c r="L18" i="3"/>
  <c r="L16" i="3"/>
  <c r="L15" i="3"/>
  <c r="L17" i="3"/>
  <c r="L14" i="3"/>
  <c r="J16" i="6"/>
  <c r="J18" i="6"/>
  <c r="J13" i="6"/>
  <c r="J14" i="6"/>
  <c r="J12" i="6"/>
  <c r="J17" i="6"/>
  <c r="J15" i="6"/>
  <c r="D16" i="6"/>
  <c r="D13" i="6"/>
  <c r="D17" i="6"/>
  <c r="D15" i="6"/>
  <c r="D18" i="6"/>
  <c r="D14" i="6"/>
  <c r="D12" i="6"/>
  <c r="F18" i="6"/>
  <c r="F16" i="6"/>
  <c r="F13" i="6"/>
  <c r="F15" i="6"/>
  <c r="F17" i="6"/>
  <c r="F12" i="6"/>
  <c r="F14" i="6"/>
  <c r="M14" i="6"/>
  <c r="M18" i="6"/>
  <c r="M13" i="6"/>
  <c r="M15" i="6"/>
  <c r="M16" i="6"/>
  <c r="M12" i="6"/>
  <c r="M17" i="6"/>
  <c r="F12" i="3"/>
  <c r="F13" i="3"/>
  <c r="F15" i="3"/>
  <c r="F16" i="3"/>
  <c r="F18" i="3"/>
  <c r="F17" i="3"/>
  <c r="F14" i="3"/>
  <c r="H14" i="6"/>
  <c r="H16" i="6"/>
  <c r="H18" i="6"/>
  <c r="H13" i="6"/>
  <c r="H17" i="6"/>
  <c r="H12" i="6"/>
  <c r="H15" i="6"/>
  <c r="J16" i="5"/>
  <c r="J13" i="5"/>
  <c r="J18" i="5"/>
  <c r="J14" i="5"/>
  <c r="J12" i="5"/>
  <c r="J15" i="5"/>
  <c r="J17" i="5"/>
  <c r="M17" i="5"/>
  <c r="M13" i="5"/>
  <c r="M14" i="5"/>
  <c r="AA14" i="5" s="1"/>
  <c r="M16" i="5"/>
  <c r="AA16" i="5" s="1"/>
  <c r="M18" i="5"/>
  <c r="M12" i="5"/>
  <c r="M15" i="5"/>
  <c r="C14" i="5"/>
  <c r="C13" i="5"/>
  <c r="C12" i="5"/>
  <c r="C16" i="5"/>
  <c r="C15" i="5"/>
  <c r="C18" i="5"/>
  <c r="C17" i="5"/>
  <c r="N13" i="3"/>
  <c r="N14" i="3"/>
  <c r="N16" i="3"/>
  <c r="N15" i="3"/>
  <c r="N18" i="3"/>
  <c r="N12" i="3"/>
  <c r="N17" i="3"/>
  <c r="E17" i="3"/>
  <c r="E15" i="3"/>
  <c r="E16" i="3"/>
  <c r="E13" i="3"/>
  <c r="E18" i="3"/>
  <c r="E12" i="3"/>
  <c r="E14" i="3"/>
  <c r="N15" i="5"/>
  <c r="N17" i="5"/>
  <c r="N13" i="5"/>
  <c r="N14" i="5"/>
  <c r="N16" i="5"/>
  <c r="N18" i="5"/>
  <c r="N12" i="5"/>
  <c r="E13" i="5"/>
  <c r="E16" i="5"/>
  <c r="E17" i="5"/>
  <c r="E14" i="5"/>
  <c r="S14" i="5" s="1"/>
  <c r="E18" i="5"/>
  <c r="E12" i="5"/>
  <c r="E15" i="5"/>
  <c r="G17" i="6"/>
  <c r="G18" i="6"/>
  <c r="G14" i="6"/>
  <c r="G16" i="6"/>
  <c r="G13" i="6"/>
  <c r="G12" i="6"/>
  <c r="G15" i="6"/>
  <c r="U15" i="6" s="1"/>
  <c r="D13" i="5"/>
  <c r="D16" i="5"/>
  <c r="D12" i="5"/>
  <c r="D18" i="5"/>
  <c r="D14" i="5"/>
  <c r="D15" i="5"/>
  <c r="D17" i="5"/>
  <c r="R17" i="5" s="1"/>
  <c r="G13" i="3"/>
  <c r="G18" i="3"/>
  <c r="G12" i="3"/>
  <c r="G15" i="3"/>
  <c r="G14" i="3"/>
  <c r="G17" i="3"/>
  <c r="G16" i="3"/>
  <c r="G12" i="5"/>
  <c r="G14" i="5"/>
  <c r="G17" i="5"/>
  <c r="G13" i="5"/>
  <c r="G16" i="5"/>
  <c r="G15" i="5"/>
  <c r="G18" i="5"/>
  <c r="D12" i="3"/>
  <c r="D16" i="3"/>
  <c r="D14" i="3"/>
  <c r="D15" i="3"/>
  <c r="D17" i="3"/>
  <c r="D13" i="3"/>
  <c r="D18" i="3"/>
  <c r="F13" i="5"/>
  <c r="F17" i="5"/>
  <c r="F12" i="5"/>
  <c r="F14" i="5"/>
  <c r="F16" i="5"/>
  <c r="F18" i="5"/>
  <c r="F15" i="5"/>
  <c r="H18" i="3"/>
  <c r="H14" i="3"/>
  <c r="H17" i="3"/>
  <c r="V17" i="3" s="1"/>
  <c r="H12" i="3"/>
  <c r="H15" i="3"/>
  <c r="H16" i="3"/>
  <c r="H13" i="3"/>
  <c r="K17" i="3"/>
  <c r="K14" i="3"/>
  <c r="K13" i="3"/>
  <c r="K16" i="3"/>
  <c r="K15" i="3"/>
  <c r="K18" i="3"/>
  <c r="K12" i="3"/>
  <c r="M17" i="3"/>
  <c r="M13" i="3"/>
  <c r="M18" i="3"/>
  <c r="AA18" i="3" s="1"/>
  <c r="M16" i="3"/>
  <c r="AA16" i="3" s="1"/>
  <c r="M12" i="3"/>
  <c r="M15" i="3"/>
  <c r="M14" i="3"/>
  <c r="C13" i="3"/>
  <c r="C12" i="3"/>
  <c r="C15" i="3"/>
  <c r="C14" i="3"/>
  <c r="C18" i="3"/>
  <c r="C17" i="3"/>
  <c r="C16" i="3"/>
  <c r="I15" i="3"/>
  <c r="I14" i="3"/>
  <c r="I17" i="3"/>
  <c r="I12" i="3"/>
  <c r="I18" i="3"/>
  <c r="I16" i="3"/>
  <c r="I13" i="3"/>
  <c r="I16" i="6"/>
  <c r="I13" i="6"/>
  <c r="W13" i="6" s="1"/>
  <c r="I18" i="6"/>
  <c r="I15" i="6"/>
  <c r="I12" i="6"/>
  <c r="I17" i="6"/>
  <c r="I14" i="6"/>
  <c r="I14" i="5"/>
  <c r="I16" i="5"/>
  <c r="I13" i="5"/>
  <c r="I15" i="5"/>
  <c r="I12" i="5"/>
  <c r="I18" i="5"/>
  <c r="I17" i="5"/>
  <c r="L13" i="6"/>
  <c r="L14" i="6"/>
  <c r="L15" i="6"/>
  <c r="L18" i="6"/>
  <c r="L16" i="6"/>
  <c r="L17" i="6"/>
  <c r="L12" i="6"/>
  <c r="J12" i="3"/>
  <c r="J14" i="3"/>
  <c r="J17" i="3"/>
  <c r="J15" i="3"/>
  <c r="J13" i="3"/>
  <c r="J18" i="3"/>
  <c r="J16" i="3"/>
  <c r="N12" i="6"/>
  <c r="N16" i="6"/>
  <c r="N14" i="6"/>
  <c r="N18" i="6"/>
  <c r="N13" i="6"/>
  <c r="N15" i="6"/>
  <c r="N17" i="6"/>
  <c r="H17" i="5"/>
  <c r="H14" i="5"/>
  <c r="H13" i="5"/>
  <c r="H16" i="5"/>
  <c r="H15" i="5"/>
  <c r="V15" i="5" s="1"/>
  <c r="H18" i="5"/>
  <c r="H12" i="5"/>
  <c r="K16" i="5"/>
  <c r="K13" i="5"/>
  <c r="Y13" i="5" s="1"/>
  <c r="K12" i="5"/>
  <c r="K18" i="5"/>
  <c r="Y18" i="5" s="1"/>
  <c r="K15" i="5"/>
  <c r="K14" i="5"/>
  <c r="K17" i="5"/>
  <c r="E18" i="6"/>
  <c r="E16" i="6"/>
  <c r="E13" i="6"/>
  <c r="E17" i="6"/>
  <c r="E12" i="6"/>
  <c r="E14" i="6"/>
  <c r="E15" i="6"/>
  <c r="C12" i="6"/>
  <c r="C18" i="6"/>
  <c r="C17" i="6"/>
  <c r="C16" i="6"/>
  <c r="C15" i="6"/>
  <c r="C14" i="6"/>
  <c r="C13" i="6"/>
  <c r="O26" i="1"/>
  <c r="O23" i="1"/>
  <c r="O27" i="1"/>
  <c r="O34" i="1"/>
  <c r="O24" i="1"/>
  <c r="O32" i="1"/>
  <c r="O33" i="1"/>
  <c r="O22" i="1"/>
  <c r="O21" i="1"/>
  <c r="O25" i="1"/>
  <c r="AB25" i="1"/>
  <c r="W23" i="1"/>
  <c r="W25" i="1"/>
  <c r="AB23" i="1"/>
  <c r="X27" i="1"/>
  <c r="Y27" i="1"/>
  <c r="R25" i="1"/>
  <c r="S27" i="1"/>
  <c r="R27" i="1"/>
  <c r="R26" i="1"/>
  <c r="R24" i="1"/>
  <c r="R23" i="1"/>
  <c r="S25" i="1"/>
  <c r="S24" i="1"/>
  <c r="S26" i="1"/>
  <c r="S23" i="1"/>
  <c r="AA25" i="1"/>
  <c r="AB24" i="1"/>
  <c r="AA27" i="1"/>
  <c r="Y25" i="1"/>
  <c r="X24" i="1"/>
  <c r="Y24" i="1"/>
  <c r="W27" i="1"/>
  <c r="Y26" i="1"/>
  <c r="W26" i="1"/>
  <c r="AB26" i="1"/>
  <c r="AA24" i="1"/>
  <c r="AB27" i="1"/>
  <c r="AA23" i="1"/>
  <c r="AA26" i="1"/>
  <c r="Z27" i="1"/>
  <c r="Z25" i="1"/>
  <c r="Z26" i="1"/>
  <c r="Z23" i="1"/>
  <c r="Z24" i="1"/>
  <c r="Y23" i="1"/>
  <c r="X26" i="1"/>
  <c r="X25" i="1"/>
  <c r="X23" i="1"/>
  <c r="W24" i="1"/>
  <c r="V24" i="1"/>
  <c r="V27" i="1"/>
  <c r="V23" i="1"/>
  <c r="V26" i="1"/>
  <c r="V25" i="1"/>
  <c r="U25" i="1"/>
  <c r="T25" i="1"/>
  <c r="U26" i="1"/>
  <c r="T26" i="1"/>
  <c r="T23" i="1"/>
  <c r="U23" i="1"/>
  <c r="T27" i="1"/>
  <c r="U27" i="1"/>
  <c r="T24" i="1"/>
  <c r="U24" i="1"/>
  <c r="S32" i="1"/>
  <c r="Y34" i="1"/>
  <c r="R34" i="1"/>
  <c r="R33" i="1"/>
  <c r="S33" i="1"/>
  <c r="S34" i="1"/>
  <c r="R32" i="1"/>
  <c r="W33" i="1"/>
  <c r="W34" i="1"/>
  <c r="Z32" i="1"/>
  <c r="V34" i="1"/>
  <c r="W32" i="1"/>
  <c r="Z33" i="1"/>
  <c r="V33" i="1"/>
  <c r="V32" i="1"/>
  <c r="X34" i="1"/>
  <c r="Z34" i="1"/>
  <c r="X33" i="1"/>
  <c r="AA34" i="1"/>
  <c r="X32" i="1"/>
  <c r="AA32" i="1"/>
  <c r="Y33" i="1"/>
  <c r="AA33" i="1"/>
  <c r="Y32" i="1"/>
  <c r="AB34" i="1"/>
  <c r="AB33" i="1"/>
  <c r="AB32" i="1"/>
  <c r="U34" i="1"/>
  <c r="T34" i="1"/>
  <c r="T33" i="1"/>
  <c r="U33" i="1"/>
  <c r="T32" i="1"/>
  <c r="U32" i="1"/>
  <c r="AB21" i="1"/>
  <c r="AB22" i="1"/>
  <c r="Y16" i="6" l="1"/>
  <c r="AA17" i="6"/>
  <c r="R18" i="5"/>
  <c r="R15" i="3"/>
  <c r="W16" i="5"/>
  <c r="R15" i="5"/>
  <c r="V16" i="5"/>
  <c r="U14" i="5"/>
  <c r="W14" i="5"/>
  <c r="W17" i="5"/>
  <c r="W12" i="3"/>
  <c r="AA13" i="3"/>
  <c r="X15" i="3"/>
  <c r="S17" i="6"/>
  <c r="Z12" i="6"/>
  <c r="S13" i="6"/>
  <c r="S16" i="6"/>
  <c r="S17" i="5"/>
  <c r="W18" i="5"/>
  <c r="R12" i="5"/>
  <c r="X14" i="5"/>
  <c r="W12" i="5"/>
  <c r="Y16" i="5"/>
  <c r="T16" i="5"/>
  <c r="U18" i="3"/>
  <c r="S15" i="3"/>
  <c r="X13" i="3"/>
  <c r="W14" i="3"/>
  <c r="R13" i="3"/>
  <c r="W17" i="3"/>
  <c r="U16" i="3"/>
  <c r="Z16" i="3"/>
  <c r="U15" i="3"/>
  <c r="V17" i="6"/>
  <c r="W16" i="6"/>
  <c r="W15" i="6"/>
  <c r="T18" i="6"/>
  <c r="X14" i="6"/>
  <c r="T16" i="6"/>
  <c r="R16" i="5"/>
  <c r="R13" i="5"/>
  <c r="R14" i="5"/>
  <c r="Z17" i="5"/>
  <c r="X16" i="3"/>
  <c r="W18" i="6"/>
  <c r="AA12" i="3"/>
  <c r="V13" i="3"/>
  <c r="R16" i="3"/>
  <c r="U12" i="6"/>
  <c r="S12" i="5"/>
  <c r="AA18" i="5"/>
  <c r="X12" i="5"/>
  <c r="AA18" i="6"/>
  <c r="Y17" i="6"/>
  <c r="AA13" i="5"/>
  <c r="Z14" i="6"/>
  <c r="T13" i="6"/>
  <c r="T15" i="5"/>
  <c r="V14" i="3"/>
  <c r="S18" i="6"/>
  <c r="Z13" i="6"/>
  <c r="W14" i="6"/>
  <c r="Y12" i="6"/>
  <c r="Z18" i="6"/>
  <c r="U17" i="6"/>
  <c r="R13" i="6"/>
  <c r="O17" i="3"/>
  <c r="AA14" i="3"/>
  <c r="U13" i="3"/>
  <c r="X12" i="3"/>
  <c r="V18" i="3"/>
  <c r="T12" i="3"/>
  <c r="Z15" i="3"/>
  <c r="X18" i="3"/>
  <c r="X18" i="5"/>
  <c r="U12" i="5"/>
  <c r="Y17" i="5"/>
  <c r="U17" i="5"/>
  <c r="T13" i="5"/>
  <c r="V13" i="5"/>
  <c r="Y15" i="3"/>
  <c r="T14" i="6"/>
  <c r="Z13" i="3"/>
  <c r="X13" i="5"/>
  <c r="AA16" i="6"/>
  <c r="T12" i="6"/>
  <c r="Z16" i="5"/>
  <c r="R16" i="6"/>
  <c r="R18" i="3"/>
  <c r="R17" i="6"/>
  <c r="S13" i="5"/>
  <c r="R17" i="3"/>
  <c r="Y17" i="3"/>
  <c r="S15" i="5"/>
  <c r="Y12" i="3"/>
  <c r="S16" i="3"/>
  <c r="S15" i="6"/>
  <c r="R15" i="6"/>
  <c r="U13" i="6"/>
  <c r="AB15" i="5"/>
  <c r="O15" i="5"/>
  <c r="AA14" i="6"/>
  <c r="Y14" i="6"/>
  <c r="T18" i="5"/>
  <c r="S12" i="3"/>
  <c r="R12" i="3"/>
  <c r="T17" i="3"/>
  <c r="S17" i="3"/>
  <c r="Z18" i="3"/>
  <c r="V13" i="6"/>
  <c r="R12" i="6"/>
  <c r="X18" i="6"/>
  <c r="W15" i="3"/>
  <c r="U14" i="6"/>
  <c r="T18" i="3"/>
  <c r="X16" i="6"/>
  <c r="V14" i="5"/>
  <c r="O14" i="6"/>
  <c r="AB14" i="6"/>
  <c r="Z16" i="6"/>
  <c r="W17" i="6"/>
  <c r="Y13" i="3"/>
  <c r="V12" i="3"/>
  <c r="T12" i="5"/>
  <c r="U15" i="5"/>
  <c r="U18" i="6"/>
  <c r="S16" i="5"/>
  <c r="O14" i="5"/>
  <c r="AB14" i="5"/>
  <c r="S13" i="3"/>
  <c r="AB18" i="3"/>
  <c r="O18" i="3"/>
  <c r="AA17" i="5"/>
  <c r="X16" i="5"/>
  <c r="V18" i="6"/>
  <c r="T16" i="3"/>
  <c r="T17" i="6"/>
  <c r="R18" i="6"/>
  <c r="X15" i="6"/>
  <c r="Z14" i="3"/>
  <c r="Z12" i="3"/>
  <c r="Z14" i="5"/>
  <c r="Y15" i="6"/>
  <c r="AB17" i="6"/>
  <c r="O17" i="6"/>
  <c r="S18" i="5"/>
  <c r="AB15" i="6"/>
  <c r="O15" i="6"/>
  <c r="V12" i="6"/>
  <c r="AB13" i="6"/>
  <c r="O13" i="6"/>
  <c r="Y18" i="3"/>
  <c r="U12" i="3"/>
  <c r="T14" i="3"/>
  <c r="S14" i="3"/>
  <c r="X13" i="6"/>
  <c r="Y12" i="5"/>
  <c r="Z17" i="6"/>
  <c r="U18" i="5"/>
  <c r="Z12" i="5"/>
  <c r="AB18" i="6"/>
  <c r="O18" i="6"/>
  <c r="W13" i="3"/>
  <c r="Y16" i="3"/>
  <c r="T14" i="5"/>
  <c r="AB16" i="5"/>
  <c r="O16" i="5"/>
  <c r="S18" i="3"/>
  <c r="AB12" i="3"/>
  <c r="O12" i="3"/>
  <c r="R14" i="6"/>
  <c r="S14" i="6"/>
  <c r="V12" i="5"/>
  <c r="V17" i="5"/>
  <c r="AB16" i="6"/>
  <c r="O16" i="6"/>
  <c r="X17" i="3"/>
  <c r="W15" i="5"/>
  <c r="W12" i="6"/>
  <c r="W16" i="3"/>
  <c r="AB17" i="3"/>
  <c r="AA17" i="3"/>
  <c r="Y14" i="3"/>
  <c r="U16" i="5"/>
  <c r="U17" i="3"/>
  <c r="AB13" i="5"/>
  <c r="O13" i="5"/>
  <c r="AB15" i="3"/>
  <c r="O15" i="3"/>
  <c r="AA15" i="5"/>
  <c r="X17" i="5"/>
  <c r="V16" i="6"/>
  <c r="T15" i="3"/>
  <c r="AA13" i="6"/>
  <c r="T15" i="6"/>
  <c r="X17" i="6"/>
  <c r="Z13" i="5"/>
  <c r="Y18" i="6"/>
  <c r="Z15" i="5"/>
  <c r="Y15" i="5"/>
  <c r="O14" i="3"/>
  <c r="AB14" i="3"/>
  <c r="AB12" i="5"/>
  <c r="O12" i="5"/>
  <c r="AB13" i="3"/>
  <c r="O13" i="3"/>
  <c r="O16" i="3"/>
  <c r="V16" i="3"/>
  <c r="U16" i="6"/>
  <c r="V15" i="3"/>
  <c r="AB18" i="5"/>
  <c r="O18" i="5"/>
  <c r="AA12" i="6"/>
  <c r="S12" i="6"/>
  <c r="Y14" i="5"/>
  <c r="V18" i="5"/>
  <c r="AB12" i="6"/>
  <c r="O12" i="6"/>
  <c r="X14" i="3"/>
  <c r="AA15" i="6"/>
  <c r="Z15" i="6"/>
  <c r="W13" i="5"/>
  <c r="W18" i="3"/>
  <c r="AA15" i="3"/>
  <c r="T17" i="5"/>
  <c r="R14" i="3"/>
  <c r="U13" i="5"/>
  <c r="U14" i="3"/>
  <c r="AB17" i="5"/>
  <c r="O17" i="5"/>
  <c r="AB16" i="3"/>
  <c r="AA12" i="5"/>
  <c r="X15" i="5"/>
  <c r="V15" i="6"/>
  <c r="V14" i="6"/>
  <c r="T13" i="3"/>
  <c r="X12" i="6"/>
  <c r="Z17" i="3"/>
  <c r="Z18" i="5"/>
  <c r="Y13" i="6"/>
  <c r="N8" i="5"/>
  <c r="N10" i="5" l="1"/>
  <c r="N20" i="5"/>
  <c r="N11" i="5"/>
  <c r="N29" i="5"/>
  <c r="N9" i="5"/>
  <c r="N20" i="3"/>
  <c r="N11" i="6"/>
  <c r="N20" i="6"/>
  <c r="N8" i="6"/>
  <c r="N10" i="6"/>
  <c r="N8" i="3"/>
  <c r="N9" i="6"/>
  <c r="N10" i="3"/>
  <c r="N9" i="3"/>
  <c r="N11" i="3"/>
  <c r="C10" i="6"/>
  <c r="C11" i="6"/>
  <c r="C10" i="3"/>
  <c r="C11" i="3"/>
  <c r="C10" i="5"/>
  <c r="C11" i="5"/>
  <c r="C30" i="1"/>
  <c r="C31" i="1"/>
  <c r="C20" i="3"/>
  <c r="C9" i="3"/>
  <c r="C8" i="3"/>
  <c r="C20" i="6"/>
  <c r="C9" i="6"/>
  <c r="C8" i="6"/>
  <c r="C29" i="5"/>
  <c r="C20" i="5"/>
  <c r="C9" i="5"/>
  <c r="C8" i="5"/>
  <c r="N30" i="1"/>
  <c r="N31" i="1"/>
  <c r="C7" i="4" l="1"/>
  <c r="C10" i="4" s="1"/>
  <c r="C7" i="2"/>
  <c r="C20" i="2" s="1"/>
  <c r="C29" i="2" s="1"/>
  <c r="N7" i="4"/>
  <c r="N9" i="4" s="1"/>
  <c r="N9" i="2"/>
  <c r="N7" i="2"/>
  <c r="N17" i="2" s="1"/>
  <c r="C37" i="5"/>
  <c r="C36" i="5"/>
  <c r="C34" i="5"/>
  <c r="C38" i="5"/>
  <c r="C35" i="5"/>
  <c r="C33" i="5"/>
  <c r="N30" i="5"/>
  <c r="N36" i="5"/>
  <c r="N37" i="5"/>
  <c r="N35" i="5"/>
  <c r="N38" i="5"/>
  <c r="N34" i="5"/>
  <c r="N33" i="5"/>
  <c r="C9" i="4"/>
  <c r="C20" i="4"/>
  <c r="C29" i="4" s="1"/>
  <c r="C11" i="4"/>
  <c r="N20" i="2"/>
  <c r="N10" i="2"/>
  <c r="N8" i="2"/>
  <c r="C15" i="4"/>
  <c r="C14" i="4"/>
  <c r="C13" i="4"/>
  <c r="C18" i="4"/>
  <c r="C17" i="4"/>
  <c r="C16" i="4"/>
  <c r="C12" i="4"/>
  <c r="N15" i="4"/>
  <c r="N16" i="4"/>
  <c r="N13" i="4"/>
  <c r="N14" i="4"/>
  <c r="N17" i="4"/>
  <c r="N12" i="4"/>
  <c r="N18" i="4"/>
  <c r="N8" i="4"/>
  <c r="N11" i="4"/>
  <c r="N20" i="4"/>
  <c r="N29" i="4" s="1"/>
  <c r="C16" i="2"/>
  <c r="C15" i="2"/>
  <c r="C13" i="2"/>
  <c r="C18" i="2"/>
  <c r="C12" i="2"/>
  <c r="N13" i="2"/>
  <c r="N15" i="2"/>
  <c r="N18" i="2"/>
  <c r="N12" i="2"/>
  <c r="N10" i="4"/>
  <c r="N24" i="3"/>
  <c r="N27" i="5"/>
  <c r="N25" i="5"/>
  <c r="N21" i="5"/>
  <c r="N22" i="5"/>
  <c r="N23" i="5"/>
  <c r="N26" i="5"/>
  <c r="N24" i="5"/>
  <c r="N32" i="5"/>
  <c r="N31" i="5"/>
  <c r="N25" i="3"/>
  <c r="N21" i="3"/>
  <c r="N22" i="3"/>
  <c r="N23" i="3"/>
  <c r="N26" i="3"/>
  <c r="N27" i="6"/>
  <c r="N29" i="3"/>
  <c r="N27" i="3"/>
  <c r="N23" i="6"/>
  <c r="N25" i="6"/>
  <c r="N22" i="6"/>
  <c r="N26" i="6"/>
  <c r="N24" i="6"/>
  <c r="N21" i="6"/>
  <c r="N29" i="6"/>
  <c r="C26" i="3"/>
  <c r="C25" i="3"/>
  <c r="C24" i="3"/>
  <c r="C27" i="3"/>
  <c r="C23" i="3"/>
  <c r="C24" i="6"/>
  <c r="C23" i="6"/>
  <c r="C27" i="6"/>
  <c r="C26" i="6"/>
  <c r="C25" i="6"/>
  <c r="C32" i="5"/>
  <c r="C23" i="5"/>
  <c r="C27" i="5"/>
  <c r="C26" i="5"/>
  <c r="C25" i="5"/>
  <c r="C24" i="5"/>
  <c r="C21" i="3"/>
  <c r="C22" i="3"/>
  <c r="C29" i="3"/>
  <c r="C21" i="5"/>
  <c r="C22" i="5"/>
  <c r="C30" i="5"/>
  <c r="C31" i="5"/>
  <c r="C22" i="6"/>
  <c r="C29" i="6"/>
  <c r="C21" i="6"/>
  <c r="C8" i="2" l="1"/>
  <c r="N14" i="2"/>
  <c r="C17" i="2"/>
  <c r="C10" i="2"/>
  <c r="N16" i="2"/>
  <c r="C14" i="2"/>
  <c r="N11" i="2"/>
  <c r="C11" i="2"/>
  <c r="C9" i="2"/>
  <c r="C27" i="4"/>
  <c r="C24" i="4"/>
  <c r="C33" i="6"/>
  <c r="C35" i="6"/>
  <c r="C34" i="6"/>
  <c r="N32" i="6"/>
  <c r="N35" i="6"/>
  <c r="N34" i="6"/>
  <c r="N33" i="6"/>
  <c r="C36" i="3"/>
  <c r="C35" i="3"/>
  <c r="C34" i="3"/>
  <c r="C33" i="3"/>
  <c r="N36" i="3"/>
  <c r="N35" i="3"/>
  <c r="N34" i="3"/>
  <c r="N33" i="3"/>
  <c r="N30" i="4"/>
  <c r="N33" i="4"/>
  <c r="N36" i="4"/>
  <c r="N35" i="4"/>
  <c r="N34" i="4"/>
  <c r="C34" i="4"/>
  <c r="C36" i="4"/>
  <c r="C35" i="4"/>
  <c r="C33" i="4"/>
  <c r="N24" i="4"/>
  <c r="C21" i="4"/>
  <c r="N22" i="4"/>
  <c r="N25" i="4"/>
  <c r="N26" i="4"/>
  <c r="C26" i="4"/>
  <c r="N27" i="4"/>
  <c r="C26" i="2"/>
  <c r="C27" i="2"/>
  <c r="C22" i="4"/>
  <c r="C25" i="4"/>
  <c r="C23" i="4"/>
  <c r="N27" i="2"/>
  <c r="N21" i="2"/>
  <c r="C21" i="2"/>
  <c r="C24" i="2"/>
  <c r="C25" i="2"/>
  <c r="N23" i="2"/>
  <c r="N26" i="2"/>
  <c r="C22" i="2"/>
  <c r="N22" i="2"/>
  <c r="N24" i="2"/>
  <c r="C32" i="2"/>
  <c r="N29" i="2"/>
  <c r="N32" i="2" s="1"/>
  <c r="C23" i="2"/>
  <c r="N25" i="2"/>
  <c r="N23" i="4"/>
  <c r="N21" i="4"/>
  <c r="N32" i="4"/>
  <c r="N30" i="3"/>
  <c r="N31" i="4"/>
  <c r="N32" i="3"/>
  <c r="N31" i="3"/>
  <c r="N31" i="6"/>
  <c r="N30" i="6"/>
  <c r="C32" i="3"/>
  <c r="C32" i="6"/>
  <c r="C32" i="4"/>
  <c r="F31" i="1"/>
  <c r="F7" i="4" s="1"/>
  <c r="I31" i="1"/>
  <c r="I7" i="4" s="1"/>
  <c r="D30" i="1"/>
  <c r="D7" i="2" s="1"/>
  <c r="J31" i="1"/>
  <c r="J7" i="4" s="1"/>
  <c r="C31" i="6"/>
  <c r="C30" i="6"/>
  <c r="C31" i="4"/>
  <c r="C30" i="3"/>
  <c r="C31" i="3"/>
  <c r="X21" i="1"/>
  <c r="S21" i="1"/>
  <c r="R21" i="1"/>
  <c r="V21" i="1"/>
  <c r="AA21" i="1"/>
  <c r="Z21" i="1"/>
  <c r="W21" i="1"/>
  <c r="Y21" i="1"/>
  <c r="T21" i="1"/>
  <c r="U21" i="1"/>
  <c r="AA7" i="1"/>
  <c r="Z7" i="1"/>
  <c r="Y7" i="1"/>
  <c r="X7" i="1"/>
  <c r="W7" i="1"/>
  <c r="V7" i="1"/>
  <c r="U7" i="1"/>
  <c r="T7" i="1"/>
  <c r="S7" i="1"/>
  <c r="R7" i="1"/>
  <c r="N31" i="2" l="1"/>
  <c r="C31" i="2"/>
  <c r="N30" i="2"/>
  <c r="F15" i="4"/>
  <c r="F16" i="4"/>
  <c r="F13" i="4"/>
  <c r="F17" i="4"/>
  <c r="F12" i="4"/>
  <c r="F14" i="4"/>
  <c r="F18" i="4"/>
  <c r="D13" i="2"/>
  <c r="R13" i="2" s="1"/>
  <c r="D14" i="2"/>
  <c r="R14" i="2" s="1"/>
  <c r="D16" i="2"/>
  <c r="R16" i="2" s="1"/>
  <c r="D17" i="2"/>
  <c r="R17" i="2" s="1"/>
  <c r="D18" i="2"/>
  <c r="R18" i="2" s="1"/>
  <c r="D12" i="2"/>
  <c r="R12" i="2" s="1"/>
  <c r="D15" i="2"/>
  <c r="I14" i="4"/>
  <c r="I13" i="4"/>
  <c r="I16" i="4"/>
  <c r="I17" i="4"/>
  <c r="I15" i="4"/>
  <c r="I18" i="4"/>
  <c r="I12" i="4"/>
  <c r="J13" i="4"/>
  <c r="J16" i="4"/>
  <c r="J12" i="4"/>
  <c r="J15" i="4"/>
  <c r="J17" i="4"/>
  <c r="J14" i="4"/>
  <c r="J18" i="4"/>
  <c r="F30" i="1"/>
  <c r="F7" i="2" s="1"/>
  <c r="I30" i="1"/>
  <c r="I7" i="2" s="1"/>
  <c r="L31" i="1"/>
  <c r="L7" i="4" s="1"/>
  <c r="X29" i="1"/>
  <c r="S29" i="1"/>
  <c r="V29" i="1"/>
  <c r="K31" i="1"/>
  <c r="K7" i="4" s="1"/>
  <c r="D31" i="1"/>
  <c r="D7" i="4" s="1"/>
  <c r="R29" i="1"/>
  <c r="J30" i="1"/>
  <c r="J7" i="2" s="1"/>
  <c r="R30" i="1"/>
  <c r="AB29" i="1"/>
  <c r="M31" i="1"/>
  <c r="M7" i="4" s="1"/>
  <c r="M30" i="1"/>
  <c r="M7" i="2" s="1"/>
  <c r="G30" i="1"/>
  <c r="G7" i="2" s="1"/>
  <c r="G31" i="1"/>
  <c r="G7" i="4" s="1"/>
  <c r="X31" i="1"/>
  <c r="U29" i="1"/>
  <c r="X14" i="4" l="1"/>
  <c r="X16" i="4"/>
  <c r="X13" i="4"/>
  <c r="X12" i="4"/>
  <c r="X15" i="4"/>
  <c r="AB31" i="1"/>
  <c r="J13" i="2"/>
  <c r="J18" i="2"/>
  <c r="J15" i="2"/>
  <c r="J12" i="2"/>
  <c r="J16" i="2"/>
  <c r="J17" i="2"/>
  <c r="J14" i="2"/>
  <c r="R31" i="1"/>
  <c r="Y31" i="1"/>
  <c r="L13" i="4"/>
  <c r="L14" i="4"/>
  <c r="L18" i="4"/>
  <c r="L16" i="4"/>
  <c r="L15" i="4"/>
  <c r="L17" i="4"/>
  <c r="L12" i="4"/>
  <c r="I16" i="2"/>
  <c r="I15" i="2"/>
  <c r="I18" i="2"/>
  <c r="I13" i="2"/>
  <c r="I14" i="2"/>
  <c r="I12" i="2"/>
  <c r="I17" i="2"/>
  <c r="F17" i="2"/>
  <c r="F13" i="2"/>
  <c r="F14" i="2"/>
  <c r="F16" i="2"/>
  <c r="F18" i="2"/>
  <c r="F15" i="2"/>
  <c r="F12" i="2"/>
  <c r="G12" i="4"/>
  <c r="U12" i="4" s="1"/>
  <c r="G13" i="4"/>
  <c r="U13" i="4" s="1"/>
  <c r="G16" i="4"/>
  <c r="U16" i="4" s="1"/>
  <c r="G17" i="4"/>
  <c r="U17" i="4" s="1"/>
  <c r="G14" i="4"/>
  <c r="U14" i="4" s="1"/>
  <c r="G18" i="4"/>
  <c r="U18" i="4" s="1"/>
  <c r="G15" i="4"/>
  <c r="U15" i="4" s="1"/>
  <c r="X18" i="4"/>
  <c r="G14" i="2"/>
  <c r="G18" i="2"/>
  <c r="G15" i="2"/>
  <c r="G13" i="2"/>
  <c r="G16" i="2"/>
  <c r="G17" i="2"/>
  <c r="G12" i="2"/>
  <c r="AB30" i="1"/>
  <c r="X17" i="4"/>
  <c r="R15" i="2"/>
  <c r="AA29" i="1"/>
  <c r="L30" i="1"/>
  <c r="L7" i="2" s="1"/>
  <c r="X30" i="1"/>
  <c r="T29" i="1"/>
  <c r="E31" i="1"/>
  <c r="E7" i="4" s="1"/>
  <c r="E30" i="1"/>
  <c r="E7" i="2" s="1"/>
  <c r="W29" i="1"/>
  <c r="H31" i="1"/>
  <c r="H7" i="4" s="1"/>
  <c r="H30" i="1"/>
  <c r="H7" i="2" s="1"/>
  <c r="Z29" i="1"/>
  <c r="K30" i="1"/>
  <c r="K7" i="2" s="1"/>
  <c r="Y29" i="1"/>
  <c r="AA31" i="1"/>
  <c r="Z31" i="1"/>
  <c r="U30" i="1"/>
  <c r="U31" i="1"/>
  <c r="AA20" i="1"/>
  <c r="Z8" i="1"/>
  <c r="X8" i="1"/>
  <c r="V8" i="1"/>
  <c r="T8" i="1"/>
  <c r="Y9" i="1"/>
  <c r="W9" i="1"/>
  <c r="U9" i="1"/>
  <c r="S9" i="1"/>
  <c r="Y20" i="1"/>
  <c r="W20" i="1"/>
  <c r="U20" i="1"/>
  <c r="S20" i="1"/>
  <c r="R8" i="1"/>
  <c r="AA9" i="1"/>
  <c r="Z20" i="1"/>
  <c r="X20" i="1"/>
  <c r="X22" i="1"/>
  <c r="V20" i="1"/>
  <c r="T20" i="1"/>
  <c r="R20" i="1"/>
  <c r="R22" i="1"/>
  <c r="U22" i="1"/>
  <c r="AA8" i="1"/>
  <c r="Y8" i="1"/>
  <c r="W8" i="1"/>
  <c r="U8" i="1"/>
  <c r="S8" i="1"/>
  <c r="Z9" i="1"/>
  <c r="X9" i="1"/>
  <c r="V9" i="1"/>
  <c r="T9" i="1"/>
  <c r="R9" i="1"/>
  <c r="U14" i="2" l="1"/>
  <c r="U17" i="2"/>
  <c r="U12" i="2"/>
  <c r="X17" i="2"/>
  <c r="U16" i="2"/>
  <c r="X13" i="2"/>
  <c r="X14" i="2"/>
  <c r="X18" i="2"/>
  <c r="Y30" i="1"/>
  <c r="M17" i="2"/>
  <c r="M16" i="2"/>
  <c r="M15" i="2"/>
  <c r="M18" i="2"/>
  <c r="M12" i="2"/>
  <c r="AB12" i="2" s="1"/>
  <c r="M13" i="2"/>
  <c r="M14" i="2"/>
  <c r="H18" i="2"/>
  <c r="H15" i="2"/>
  <c r="W15" i="2" s="1"/>
  <c r="H13" i="2"/>
  <c r="W13" i="2" s="1"/>
  <c r="H16" i="2"/>
  <c r="W16" i="2" s="1"/>
  <c r="H14" i="2"/>
  <c r="H12" i="2"/>
  <c r="H17" i="2"/>
  <c r="W17" i="2" s="1"/>
  <c r="D13" i="4"/>
  <c r="R13" i="4" s="1"/>
  <c r="D18" i="4"/>
  <c r="R18" i="4" s="1"/>
  <c r="D17" i="4"/>
  <c r="R17" i="4" s="1"/>
  <c r="D14" i="4"/>
  <c r="R14" i="4" s="1"/>
  <c r="D12" i="4"/>
  <c r="R12" i="4" s="1"/>
  <c r="D15" i="4"/>
  <c r="R15" i="4" s="1"/>
  <c r="D16" i="4"/>
  <c r="R16" i="4" s="1"/>
  <c r="H17" i="4"/>
  <c r="H16" i="4"/>
  <c r="H13" i="4"/>
  <c r="H14" i="4"/>
  <c r="H18" i="4"/>
  <c r="H15" i="4"/>
  <c r="H12" i="4"/>
  <c r="U18" i="2"/>
  <c r="X12" i="2"/>
  <c r="T31" i="1"/>
  <c r="AA30" i="1"/>
  <c r="L9" i="2"/>
  <c r="U13" i="2"/>
  <c r="X16" i="2"/>
  <c r="U15" i="2"/>
  <c r="S30" i="1"/>
  <c r="M18" i="4"/>
  <c r="M13" i="4"/>
  <c r="M14" i="4"/>
  <c r="M16" i="4"/>
  <c r="M15" i="4"/>
  <c r="M17" i="4"/>
  <c r="M12" i="4"/>
  <c r="K16" i="4"/>
  <c r="Y16" i="4" s="1"/>
  <c r="K13" i="4"/>
  <c r="Y13" i="4" s="1"/>
  <c r="K15" i="4"/>
  <c r="Y15" i="4" s="1"/>
  <c r="K14" i="4"/>
  <c r="Y14" i="4" s="1"/>
  <c r="K12" i="4"/>
  <c r="K17" i="4"/>
  <c r="K18" i="4"/>
  <c r="Y18" i="4" s="1"/>
  <c r="X15" i="2"/>
  <c r="O7" i="4"/>
  <c r="V30" i="1"/>
  <c r="O30" i="1"/>
  <c r="O7" i="3"/>
  <c r="W31" i="1"/>
  <c r="O31" i="1"/>
  <c r="O7" i="6"/>
  <c r="O7" i="2"/>
  <c r="L10" i="4"/>
  <c r="L11" i="4"/>
  <c r="L10" i="6"/>
  <c r="L11" i="6"/>
  <c r="L10" i="3"/>
  <c r="L11" i="3"/>
  <c r="D10" i="3"/>
  <c r="R10" i="3" s="1"/>
  <c r="D11" i="3"/>
  <c r="D10" i="2"/>
  <c r="R10" i="2" s="1"/>
  <c r="D11" i="2"/>
  <c r="D10" i="4"/>
  <c r="R10" i="4" s="1"/>
  <c r="D11" i="4"/>
  <c r="D10" i="6"/>
  <c r="R10" i="6" s="1"/>
  <c r="D11" i="6"/>
  <c r="D10" i="5"/>
  <c r="R10" i="5" s="1"/>
  <c r="D11" i="5"/>
  <c r="R11" i="5" s="1"/>
  <c r="L10" i="5"/>
  <c r="L11" i="5"/>
  <c r="W30" i="1"/>
  <c r="T30" i="1"/>
  <c r="S31" i="1"/>
  <c r="Z30" i="1"/>
  <c r="V31" i="1"/>
  <c r="D8" i="6"/>
  <c r="R8" i="6" s="1"/>
  <c r="R7" i="6"/>
  <c r="D20" i="6"/>
  <c r="D9" i="6"/>
  <c r="R9" i="6" s="1"/>
  <c r="D9" i="2"/>
  <c r="R9" i="2" s="1"/>
  <c r="D20" i="2"/>
  <c r="D8" i="2"/>
  <c r="R7" i="2"/>
  <c r="D20" i="5"/>
  <c r="D29" i="5"/>
  <c r="D9" i="5"/>
  <c r="R9" i="5" s="1"/>
  <c r="D8" i="5"/>
  <c r="R8" i="5" s="1"/>
  <c r="L20" i="4"/>
  <c r="L9" i="4"/>
  <c r="L8" i="4"/>
  <c r="D20" i="3"/>
  <c r="D9" i="3"/>
  <c r="R9" i="3" s="1"/>
  <c r="D8" i="3"/>
  <c r="R8" i="3" s="1"/>
  <c r="R7" i="3"/>
  <c r="L9" i="6"/>
  <c r="L8" i="6"/>
  <c r="L20" i="6"/>
  <c r="L20" i="5"/>
  <c r="L29" i="5"/>
  <c r="L9" i="5"/>
  <c r="L8" i="5"/>
  <c r="D20" i="4"/>
  <c r="D8" i="4"/>
  <c r="D9" i="4"/>
  <c r="R9" i="4" s="1"/>
  <c r="R7" i="4"/>
  <c r="L20" i="3"/>
  <c r="L9" i="3"/>
  <c r="L8" i="3"/>
  <c r="T22" i="1"/>
  <c r="W22" i="1"/>
  <c r="Y22" i="1"/>
  <c r="V22" i="1"/>
  <c r="Z22" i="1"/>
  <c r="S22" i="1"/>
  <c r="AA22" i="1"/>
  <c r="R29" i="5" l="1"/>
  <c r="D34" i="5"/>
  <c r="R34" i="5" s="1"/>
  <c r="D37" i="5"/>
  <c r="R37" i="5" s="1"/>
  <c r="D35" i="5"/>
  <c r="R35" i="5" s="1"/>
  <c r="D38" i="5"/>
  <c r="R38" i="5" s="1"/>
  <c r="D33" i="5"/>
  <c r="R33" i="5" s="1"/>
  <c r="D36" i="5"/>
  <c r="R36" i="5" s="1"/>
  <c r="L34" i="5"/>
  <c r="L38" i="5"/>
  <c r="L33" i="5"/>
  <c r="L36" i="5"/>
  <c r="L37" i="5"/>
  <c r="L35" i="5"/>
  <c r="R20" i="5"/>
  <c r="Z14" i="4"/>
  <c r="L8" i="2"/>
  <c r="L20" i="2"/>
  <c r="L11" i="2"/>
  <c r="Z15" i="4"/>
  <c r="Z16" i="4"/>
  <c r="L10" i="2"/>
  <c r="V14" i="4"/>
  <c r="O14" i="4"/>
  <c r="W14" i="4"/>
  <c r="V13" i="4"/>
  <c r="O13" i="4"/>
  <c r="W13" i="4"/>
  <c r="V14" i="2"/>
  <c r="O14" i="2"/>
  <c r="AA12" i="4"/>
  <c r="AB12" i="4"/>
  <c r="E18" i="4"/>
  <c r="E16" i="4"/>
  <c r="E13" i="4"/>
  <c r="E17" i="4"/>
  <c r="E12" i="4"/>
  <c r="E15" i="4"/>
  <c r="E14" i="4"/>
  <c r="V16" i="4"/>
  <c r="O16" i="4"/>
  <c r="W16" i="4"/>
  <c r="AB13" i="2"/>
  <c r="V17" i="4"/>
  <c r="O17" i="4"/>
  <c r="W17" i="4"/>
  <c r="V13" i="2"/>
  <c r="O13" i="2"/>
  <c r="K18" i="2"/>
  <c r="Y18" i="2" s="1"/>
  <c r="K15" i="2"/>
  <c r="K16" i="2"/>
  <c r="Y16" i="2" s="1"/>
  <c r="K14" i="2"/>
  <c r="Y14" i="2" s="1"/>
  <c r="K13" i="2"/>
  <c r="Y13" i="2" s="1"/>
  <c r="K17" i="2"/>
  <c r="Y17" i="2" s="1"/>
  <c r="K12" i="2"/>
  <c r="Y12" i="2" s="1"/>
  <c r="AA16" i="4"/>
  <c r="AB16" i="4"/>
  <c r="W14" i="2"/>
  <c r="Z13" i="4"/>
  <c r="V15" i="4"/>
  <c r="O15" i="4"/>
  <c r="W15" i="4"/>
  <c r="V18" i="2"/>
  <c r="O18" i="2"/>
  <c r="AB15" i="2"/>
  <c r="Z17" i="4"/>
  <c r="Y17" i="4"/>
  <c r="V12" i="2"/>
  <c r="O12" i="2"/>
  <c r="V16" i="2"/>
  <c r="O16" i="2"/>
  <c r="V15" i="2"/>
  <c r="O15" i="2"/>
  <c r="W12" i="2"/>
  <c r="V18" i="4"/>
  <c r="O18" i="4"/>
  <c r="W18" i="4"/>
  <c r="V17" i="2"/>
  <c r="O17" i="2"/>
  <c r="AB16" i="2"/>
  <c r="AA13" i="4"/>
  <c r="AB13" i="4"/>
  <c r="E15" i="2"/>
  <c r="E13" i="2"/>
  <c r="E14" i="2"/>
  <c r="E16" i="2"/>
  <c r="E17" i="2"/>
  <c r="E12" i="2"/>
  <c r="E18" i="2"/>
  <c r="AB17" i="2"/>
  <c r="Z12" i="4"/>
  <c r="Y12" i="4"/>
  <c r="AB14" i="2"/>
  <c r="AA18" i="4"/>
  <c r="AB18" i="4"/>
  <c r="AA17" i="4"/>
  <c r="AB17" i="4"/>
  <c r="V12" i="4"/>
  <c r="O12" i="4"/>
  <c r="W12" i="4"/>
  <c r="AA15" i="4"/>
  <c r="AB15" i="4"/>
  <c r="L17" i="2"/>
  <c r="L13" i="2"/>
  <c r="L15" i="2"/>
  <c r="AA15" i="2" s="1"/>
  <c r="L14" i="2"/>
  <c r="L18" i="2"/>
  <c r="AA18" i="2" s="1"/>
  <c r="L12" i="2"/>
  <c r="L16" i="2"/>
  <c r="AA16" i="2" s="1"/>
  <c r="AB18" i="2"/>
  <c r="AA14" i="4"/>
  <c r="AB14" i="4"/>
  <c r="Z18" i="4"/>
  <c r="W18" i="2"/>
  <c r="H11" i="6"/>
  <c r="O11" i="6" s="1"/>
  <c r="H10" i="6"/>
  <c r="O10" i="6" s="1"/>
  <c r="H11" i="3"/>
  <c r="O11" i="3" s="1"/>
  <c r="H10" i="3"/>
  <c r="O10" i="3" s="1"/>
  <c r="H9" i="5"/>
  <c r="O9" i="5" s="1"/>
  <c r="H20" i="4"/>
  <c r="H10" i="4"/>
  <c r="O10" i="4" s="1"/>
  <c r="H9" i="4"/>
  <c r="O9" i="4" s="1"/>
  <c r="H11" i="4"/>
  <c r="O11" i="4" s="1"/>
  <c r="H10" i="5"/>
  <c r="O10" i="5" s="1"/>
  <c r="H8" i="6"/>
  <c r="O8" i="6" s="1"/>
  <c r="H11" i="2"/>
  <c r="O11" i="2" s="1"/>
  <c r="H8" i="5"/>
  <c r="O8" i="5" s="1"/>
  <c r="H9" i="6"/>
  <c r="O9" i="6" s="1"/>
  <c r="H20" i="6"/>
  <c r="H20" i="3"/>
  <c r="H9" i="3"/>
  <c r="O9" i="3" s="1"/>
  <c r="H10" i="2"/>
  <c r="O10" i="2" s="1"/>
  <c r="H8" i="3"/>
  <c r="O8" i="3" s="1"/>
  <c r="H20" i="2"/>
  <c r="H20" i="5"/>
  <c r="H29" i="5"/>
  <c r="H9" i="2"/>
  <c r="O9" i="2" s="1"/>
  <c r="H8" i="2"/>
  <c r="O8" i="2" s="1"/>
  <c r="H8" i="4"/>
  <c r="O8" i="4" s="1"/>
  <c r="H11" i="5"/>
  <c r="O11" i="5" s="1"/>
  <c r="L32" i="5"/>
  <c r="L23" i="4"/>
  <c r="L24" i="4"/>
  <c r="L25" i="4"/>
  <c r="L26" i="4"/>
  <c r="L27" i="4"/>
  <c r="L23" i="3"/>
  <c r="L24" i="3"/>
  <c r="L25" i="3"/>
  <c r="L26" i="3"/>
  <c r="L27" i="3"/>
  <c r="L23" i="5"/>
  <c r="L24" i="5"/>
  <c r="L25" i="5"/>
  <c r="L26" i="5"/>
  <c r="L27" i="5"/>
  <c r="L23" i="6"/>
  <c r="L24" i="6"/>
  <c r="L25" i="6"/>
  <c r="L26" i="6"/>
  <c r="L27" i="6"/>
  <c r="D27" i="2"/>
  <c r="R27" i="2" s="1"/>
  <c r="D25" i="2"/>
  <c r="R25" i="2" s="1"/>
  <c r="D23" i="2"/>
  <c r="R23" i="2" s="1"/>
  <c r="D26" i="2"/>
  <c r="R26" i="2" s="1"/>
  <c r="D24" i="2"/>
  <c r="R24" i="2" s="1"/>
  <c r="D23" i="6"/>
  <c r="R23" i="6" s="1"/>
  <c r="D26" i="6"/>
  <c r="R26" i="6" s="1"/>
  <c r="D24" i="6"/>
  <c r="R24" i="6" s="1"/>
  <c r="D27" i="6"/>
  <c r="R27" i="6" s="1"/>
  <c r="D25" i="6"/>
  <c r="R25" i="6" s="1"/>
  <c r="D32" i="5"/>
  <c r="R32" i="5" s="1"/>
  <c r="D25" i="4"/>
  <c r="R25" i="4" s="1"/>
  <c r="D26" i="4"/>
  <c r="R26" i="4" s="1"/>
  <c r="D23" i="4"/>
  <c r="R23" i="4" s="1"/>
  <c r="D24" i="4"/>
  <c r="R24" i="4" s="1"/>
  <c r="D27" i="4"/>
  <c r="R27" i="4" s="1"/>
  <c r="D23" i="3"/>
  <c r="R23" i="3" s="1"/>
  <c r="D26" i="3"/>
  <c r="R26" i="3" s="1"/>
  <c r="D27" i="3"/>
  <c r="R27" i="3" s="1"/>
  <c r="D24" i="3"/>
  <c r="R24" i="3" s="1"/>
  <c r="D25" i="3"/>
  <c r="R25" i="3" s="1"/>
  <c r="D25" i="5"/>
  <c r="R25" i="5" s="1"/>
  <c r="D23" i="5"/>
  <c r="R23" i="5" s="1"/>
  <c r="D26" i="5"/>
  <c r="R26" i="5" s="1"/>
  <c r="D24" i="5"/>
  <c r="R24" i="5" s="1"/>
  <c r="D27" i="5"/>
  <c r="R27" i="5" s="1"/>
  <c r="K10" i="2"/>
  <c r="K11" i="2"/>
  <c r="I10" i="4"/>
  <c r="I11" i="4"/>
  <c r="E10" i="2"/>
  <c r="S10" i="2" s="1"/>
  <c r="E11" i="2"/>
  <c r="S11" i="2" s="1"/>
  <c r="K11" i="3"/>
  <c r="I10" i="6"/>
  <c r="I11" i="6"/>
  <c r="E10" i="3"/>
  <c r="S10" i="3" s="1"/>
  <c r="E11" i="3"/>
  <c r="S11" i="3" s="1"/>
  <c r="G10" i="2"/>
  <c r="G11" i="2"/>
  <c r="F10" i="4"/>
  <c r="F11" i="4"/>
  <c r="J10" i="4"/>
  <c r="J11" i="4"/>
  <c r="K11" i="4"/>
  <c r="E10" i="4"/>
  <c r="S10" i="4" s="1"/>
  <c r="E11" i="4"/>
  <c r="S11" i="4" s="1"/>
  <c r="F10" i="6"/>
  <c r="F11" i="6"/>
  <c r="J10" i="6"/>
  <c r="J11" i="6"/>
  <c r="K10" i="6"/>
  <c r="Z10" i="6" s="1"/>
  <c r="K11" i="6"/>
  <c r="E10" i="6"/>
  <c r="S10" i="6" s="1"/>
  <c r="E11" i="6"/>
  <c r="S11" i="6" s="1"/>
  <c r="F10" i="2"/>
  <c r="F11" i="2"/>
  <c r="J10" i="2"/>
  <c r="J11" i="2"/>
  <c r="I10" i="2"/>
  <c r="I11" i="2"/>
  <c r="F10" i="3"/>
  <c r="F11" i="3"/>
  <c r="J10" i="3"/>
  <c r="J11" i="3"/>
  <c r="I10" i="3"/>
  <c r="I11" i="3"/>
  <c r="M10" i="3"/>
  <c r="AA10" i="3" s="1"/>
  <c r="M11" i="3"/>
  <c r="R11" i="6"/>
  <c r="R11" i="3"/>
  <c r="R11" i="2"/>
  <c r="R11" i="4"/>
  <c r="F10" i="5"/>
  <c r="F11" i="5"/>
  <c r="J10" i="5"/>
  <c r="J11" i="5"/>
  <c r="I10" i="5"/>
  <c r="I11" i="5"/>
  <c r="K10" i="5"/>
  <c r="Z10" i="5" s="1"/>
  <c r="K11" i="5"/>
  <c r="E10" i="5"/>
  <c r="S10" i="5" s="1"/>
  <c r="E11" i="5"/>
  <c r="S11" i="5" s="1"/>
  <c r="Z7" i="3"/>
  <c r="K10" i="3"/>
  <c r="Z7" i="4"/>
  <c r="K10" i="4"/>
  <c r="Y7" i="2"/>
  <c r="K20" i="2"/>
  <c r="K9" i="2"/>
  <c r="Z9" i="2" s="1"/>
  <c r="K8" i="2"/>
  <c r="L29" i="4"/>
  <c r="L22" i="4"/>
  <c r="L21" i="4"/>
  <c r="X7" i="6"/>
  <c r="I20" i="6"/>
  <c r="I8" i="6"/>
  <c r="I9" i="6"/>
  <c r="W7" i="6"/>
  <c r="U7" i="2"/>
  <c r="G9" i="2"/>
  <c r="G8" i="2"/>
  <c r="G20" i="2"/>
  <c r="D22" i="3"/>
  <c r="R22" i="3" s="1"/>
  <c r="D21" i="3"/>
  <c r="R21" i="3" s="1"/>
  <c r="D29" i="3"/>
  <c r="R20" i="3"/>
  <c r="J20" i="4"/>
  <c r="J9" i="4"/>
  <c r="J8" i="4"/>
  <c r="X7" i="4"/>
  <c r="D22" i="4"/>
  <c r="R22" i="4" s="1"/>
  <c r="D21" i="4"/>
  <c r="D29" i="4"/>
  <c r="R20" i="4"/>
  <c r="L22" i="5"/>
  <c r="L21" i="5"/>
  <c r="K20" i="3"/>
  <c r="K9" i="3"/>
  <c r="K8" i="3"/>
  <c r="Z8" i="3" s="1"/>
  <c r="Y7" i="3"/>
  <c r="Y7" i="5"/>
  <c r="K29" i="5"/>
  <c r="K20" i="5"/>
  <c r="K9" i="5"/>
  <c r="Z9" i="5" s="1"/>
  <c r="K8" i="5"/>
  <c r="Z8" i="5" s="1"/>
  <c r="R8" i="4"/>
  <c r="K20" i="4"/>
  <c r="K9" i="4"/>
  <c r="Z9" i="4" s="1"/>
  <c r="K8" i="4"/>
  <c r="Z8" i="4" s="1"/>
  <c r="Y7" i="4"/>
  <c r="F20" i="6"/>
  <c r="F9" i="6"/>
  <c r="F8" i="6"/>
  <c r="J20" i="6"/>
  <c r="J9" i="6"/>
  <c r="J8" i="6"/>
  <c r="F9" i="2"/>
  <c r="F8" i="2"/>
  <c r="F20" i="2"/>
  <c r="T7" i="2"/>
  <c r="S7" i="2"/>
  <c r="E9" i="2"/>
  <c r="S9" i="2" s="1"/>
  <c r="E8" i="2"/>
  <c r="S8" i="2" s="1"/>
  <c r="E20" i="2"/>
  <c r="E20" i="3"/>
  <c r="E9" i="3"/>
  <c r="E8" i="3"/>
  <c r="S8" i="3" s="1"/>
  <c r="S7" i="3"/>
  <c r="L30" i="5"/>
  <c r="L31" i="5"/>
  <c r="E20" i="4"/>
  <c r="E9" i="4"/>
  <c r="S9" i="4" s="1"/>
  <c r="E8" i="4"/>
  <c r="S8" i="4" s="1"/>
  <c r="S7" i="4"/>
  <c r="Z7" i="6"/>
  <c r="K9" i="6"/>
  <c r="Z9" i="6" s="1"/>
  <c r="K20" i="6"/>
  <c r="K8" i="6"/>
  <c r="Z8" i="6" s="1"/>
  <c r="Y7" i="6"/>
  <c r="T7" i="6"/>
  <c r="E9" i="6"/>
  <c r="S9" i="6" s="1"/>
  <c r="E20" i="6"/>
  <c r="E8" i="6"/>
  <c r="S8" i="6" s="1"/>
  <c r="S7" i="6"/>
  <c r="J8" i="2"/>
  <c r="J20" i="2"/>
  <c r="J9" i="2"/>
  <c r="X7" i="2"/>
  <c r="W7" i="2"/>
  <c r="I8" i="2"/>
  <c r="I20" i="2"/>
  <c r="I9" i="2"/>
  <c r="F20" i="3"/>
  <c r="T7" i="3"/>
  <c r="F9" i="3"/>
  <c r="F8" i="3"/>
  <c r="L29" i="3"/>
  <c r="L22" i="3"/>
  <c r="L21" i="3"/>
  <c r="Z7" i="5"/>
  <c r="L29" i="6"/>
  <c r="L22" i="6"/>
  <c r="L21" i="6"/>
  <c r="D30" i="5"/>
  <c r="R30" i="5" s="1"/>
  <c r="D31" i="5"/>
  <c r="R31" i="5" s="1"/>
  <c r="R8" i="2"/>
  <c r="D29" i="6"/>
  <c r="D22" i="6"/>
  <c r="R22" i="6" s="1"/>
  <c r="D21" i="6"/>
  <c r="R20" i="6"/>
  <c r="F20" i="4"/>
  <c r="F9" i="4"/>
  <c r="F8" i="4"/>
  <c r="T7" i="4"/>
  <c r="J20" i="3"/>
  <c r="J8" i="3"/>
  <c r="J9" i="3"/>
  <c r="X7" i="3"/>
  <c r="I8" i="3"/>
  <c r="I20" i="3"/>
  <c r="W7" i="3"/>
  <c r="I9" i="3"/>
  <c r="M20" i="3"/>
  <c r="M9" i="3"/>
  <c r="M8" i="3"/>
  <c r="AA7" i="3"/>
  <c r="AB7" i="3"/>
  <c r="F20" i="5"/>
  <c r="F29" i="5"/>
  <c r="F9" i="5"/>
  <c r="F8" i="5"/>
  <c r="T7" i="5"/>
  <c r="I8" i="4"/>
  <c r="I9" i="4"/>
  <c r="I20" i="4"/>
  <c r="W7" i="4"/>
  <c r="S7" i="5"/>
  <c r="E20" i="5"/>
  <c r="E9" i="5"/>
  <c r="S9" i="5" s="1"/>
  <c r="E29" i="5"/>
  <c r="E8" i="5"/>
  <c r="S8" i="5" s="1"/>
  <c r="Z7" i="2"/>
  <c r="J29" i="5"/>
  <c r="J8" i="5"/>
  <c r="J20" i="5"/>
  <c r="X7" i="5"/>
  <c r="J9" i="5"/>
  <c r="W7" i="5"/>
  <c r="I29" i="5"/>
  <c r="I8" i="5"/>
  <c r="I20" i="5"/>
  <c r="I9" i="5"/>
  <c r="V7" i="2"/>
  <c r="D21" i="5"/>
  <c r="R21" i="5" s="1"/>
  <c r="D22" i="5"/>
  <c r="R22" i="5" s="1"/>
  <c r="D22" i="2"/>
  <c r="R22" i="2" s="1"/>
  <c r="D21" i="2"/>
  <c r="D29" i="2"/>
  <c r="R20" i="2"/>
  <c r="D33" i="6" l="1"/>
  <c r="R33" i="6" s="1"/>
  <c r="D34" i="6"/>
  <c r="R34" i="6" s="1"/>
  <c r="D35" i="6"/>
  <c r="R35" i="6" s="1"/>
  <c r="L33" i="6"/>
  <c r="L35" i="6"/>
  <c r="L34" i="6"/>
  <c r="L34" i="3"/>
  <c r="L33" i="3"/>
  <c r="L36" i="3"/>
  <c r="L35" i="3"/>
  <c r="D34" i="3"/>
  <c r="R34" i="3" s="1"/>
  <c r="D35" i="3"/>
  <c r="R35" i="3" s="1"/>
  <c r="D33" i="3"/>
  <c r="R33" i="3" s="1"/>
  <c r="D36" i="3"/>
  <c r="R36" i="3" s="1"/>
  <c r="J34" i="5"/>
  <c r="J35" i="5"/>
  <c r="J38" i="5"/>
  <c r="J33" i="5"/>
  <c r="X33" i="5" s="1"/>
  <c r="J36" i="5"/>
  <c r="J37" i="5"/>
  <c r="O29" i="5"/>
  <c r="H38" i="5"/>
  <c r="O38" i="5" s="1"/>
  <c r="H35" i="5"/>
  <c r="H33" i="5"/>
  <c r="H36" i="5"/>
  <c r="H34" i="5"/>
  <c r="H37" i="5"/>
  <c r="I35" i="5"/>
  <c r="I36" i="5"/>
  <c r="W36" i="5" s="1"/>
  <c r="I38" i="5"/>
  <c r="I34" i="5"/>
  <c r="I37" i="5"/>
  <c r="I33" i="5"/>
  <c r="K37" i="5"/>
  <c r="K33" i="5"/>
  <c r="Y33" i="5" s="1"/>
  <c r="K36" i="5"/>
  <c r="K34" i="5"/>
  <c r="K35" i="5"/>
  <c r="Z35" i="5" s="1"/>
  <c r="K38" i="5"/>
  <c r="Z38" i="5" s="1"/>
  <c r="E35" i="5"/>
  <c r="S35" i="5" s="1"/>
  <c r="E38" i="5"/>
  <c r="S38" i="5" s="1"/>
  <c r="E34" i="5"/>
  <c r="S34" i="5" s="1"/>
  <c r="E33" i="5"/>
  <c r="S33" i="5" s="1"/>
  <c r="E37" i="5"/>
  <c r="S37" i="5" s="1"/>
  <c r="E36" i="5"/>
  <c r="F36" i="5"/>
  <c r="F33" i="5"/>
  <c r="F37" i="5"/>
  <c r="F34" i="5"/>
  <c r="F35" i="5"/>
  <c r="F38" i="5"/>
  <c r="D34" i="4"/>
  <c r="R34" i="4" s="1"/>
  <c r="D35" i="4"/>
  <c r="R35" i="4" s="1"/>
  <c r="D33" i="4"/>
  <c r="D36" i="4"/>
  <c r="R36" i="4" s="1"/>
  <c r="L34" i="4"/>
  <c r="L35" i="4"/>
  <c r="L33" i="4"/>
  <c r="L36" i="4"/>
  <c r="L21" i="2"/>
  <c r="L23" i="2"/>
  <c r="L24" i="2"/>
  <c r="Z8" i="2"/>
  <c r="L29" i="2"/>
  <c r="L31" i="2" s="1"/>
  <c r="L27" i="2"/>
  <c r="W8" i="6"/>
  <c r="L22" i="2"/>
  <c r="L26" i="2"/>
  <c r="L25" i="2"/>
  <c r="Z13" i="2"/>
  <c r="Z10" i="2"/>
  <c r="AA13" i="2"/>
  <c r="Z17" i="2"/>
  <c r="Z14" i="2"/>
  <c r="Z15" i="2"/>
  <c r="Y15" i="2"/>
  <c r="S12" i="4"/>
  <c r="T12" i="4"/>
  <c r="S15" i="4"/>
  <c r="T15" i="4"/>
  <c r="S13" i="2"/>
  <c r="T13" i="2"/>
  <c r="S13" i="4"/>
  <c r="T13" i="4"/>
  <c r="AA14" i="2"/>
  <c r="S16" i="2"/>
  <c r="T16" i="2"/>
  <c r="S14" i="2"/>
  <c r="T14" i="2"/>
  <c r="S17" i="4"/>
  <c r="T17" i="4"/>
  <c r="AA17" i="2"/>
  <c r="S16" i="4"/>
  <c r="T16" i="4"/>
  <c r="S17" i="2"/>
  <c r="T17" i="2"/>
  <c r="Z16" i="2"/>
  <c r="S15" i="2"/>
  <c r="T15" i="2"/>
  <c r="S18" i="4"/>
  <c r="T18" i="4"/>
  <c r="AA12" i="2"/>
  <c r="Z12" i="2"/>
  <c r="S18" i="2"/>
  <c r="T18" i="2"/>
  <c r="S14" i="4"/>
  <c r="T14" i="4"/>
  <c r="W11" i="3"/>
  <c r="Z18" i="2"/>
  <c r="S12" i="2"/>
  <c r="T12" i="2"/>
  <c r="O20" i="6"/>
  <c r="O20" i="3"/>
  <c r="O20" i="5"/>
  <c r="O20" i="4"/>
  <c r="O20" i="2"/>
  <c r="W10" i="6"/>
  <c r="W11" i="6"/>
  <c r="W10" i="3"/>
  <c r="W9" i="5"/>
  <c r="W8" i="5"/>
  <c r="H25" i="4"/>
  <c r="O25" i="4" s="1"/>
  <c r="H26" i="4"/>
  <c r="O26" i="4" s="1"/>
  <c r="H21" i="4"/>
  <c r="O21" i="4" s="1"/>
  <c r="H22" i="4"/>
  <c r="O22" i="4" s="1"/>
  <c r="H29" i="4"/>
  <c r="W10" i="4"/>
  <c r="H23" i="4"/>
  <c r="O23" i="4" s="1"/>
  <c r="H22" i="6"/>
  <c r="O22" i="6" s="1"/>
  <c r="W9" i="4"/>
  <c r="W9" i="6"/>
  <c r="H24" i="4"/>
  <c r="O24" i="4" s="1"/>
  <c r="W11" i="4"/>
  <c r="W10" i="5"/>
  <c r="H27" i="4"/>
  <c r="O27" i="4" s="1"/>
  <c r="H21" i="6"/>
  <c r="O21" i="6" s="1"/>
  <c r="H26" i="6"/>
  <c r="O26" i="6" s="1"/>
  <c r="H27" i="3"/>
  <c r="O27" i="3" s="1"/>
  <c r="H29" i="6"/>
  <c r="H23" i="3"/>
  <c r="O23" i="3" s="1"/>
  <c r="H24" i="6"/>
  <c r="O24" i="6" s="1"/>
  <c r="H22" i="3"/>
  <c r="O22" i="3" s="1"/>
  <c r="V11" i="2"/>
  <c r="H27" i="6"/>
  <c r="O27" i="6" s="1"/>
  <c r="W11" i="2"/>
  <c r="H21" i="3"/>
  <c r="O21" i="3" s="1"/>
  <c r="H25" i="6"/>
  <c r="O25" i="6" s="1"/>
  <c r="H29" i="3"/>
  <c r="H24" i="3"/>
  <c r="O24" i="3" s="1"/>
  <c r="H25" i="3"/>
  <c r="O25" i="3" s="1"/>
  <c r="H26" i="3"/>
  <c r="O26" i="3" s="1"/>
  <c r="H23" i="6"/>
  <c r="O23" i="6" s="1"/>
  <c r="H22" i="5"/>
  <c r="O22" i="5" s="1"/>
  <c r="W10" i="2"/>
  <c r="W8" i="3"/>
  <c r="H26" i="2"/>
  <c r="O26" i="2" s="1"/>
  <c r="H27" i="2"/>
  <c r="O27" i="2" s="1"/>
  <c r="H21" i="2"/>
  <c r="O21" i="2" s="1"/>
  <c r="H23" i="2"/>
  <c r="O23" i="2" s="1"/>
  <c r="H22" i="2"/>
  <c r="O22" i="2" s="1"/>
  <c r="H32" i="5"/>
  <c r="O32" i="5" s="1"/>
  <c r="H26" i="5"/>
  <c r="O26" i="5" s="1"/>
  <c r="H21" i="5"/>
  <c r="O21" i="5" s="1"/>
  <c r="V9" i="2"/>
  <c r="H31" i="5"/>
  <c r="O31" i="5" s="1"/>
  <c r="H27" i="5"/>
  <c r="O27" i="5" s="1"/>
  <c r="W8" i="2"/>
  <c r="H30" i="5"/>
  <c r="O30" i="5" s="1"/>
  <c r="H25" i="2"/>
  <c r="O25" i="2" s="1"/>
  <c r="H24" i="5"/>
  <c r="O24" i="5" s="1"/>
  <c r="W9" i="2"/>
  <c r="H23" i="5"/>
  <c r="O23" i="5" s="1"/>
  <c r="H29" i="2"/>
  <c r="O29" i="2" s="1"/>
  <c r="H24" i="2"/>
  <c r="O24" i="2" s="1"/>
  <c r="H25" i="5"/>
  <c r="O25" i="5" s="1"/>
  <c r="W11" i="5"/>
  <c r="W8" i="4"/>
  <c r="J23" i="6"/>
  <c r="J27" i="6"/>
  <c r="J24" i="6"/>
  <c r="J26" i="6"/>
  <c r="J25" i="6"/>
  <c r="J23" i="4"/>
  <c r="J27" i="4"/>
  <c r="J26" i="4"/>
  <c r="J24" i="4"/>
  <c r="J25" i="4"/>
  <c r="K32" i="5"/>
  <c r="Z32" i="5" s="1"/>
  <c r="I26" i="4"/>
  <c r="I23" i="4"/>
  <c r="I24" i="4"/>
  <c r="I25" i="4"/>
  <c r="I27" i="4"/>
  <c r="I24" i="3"/>
  <c r="I26" i="3"/>
  <c r="I23" i="3"/>
  <c r="I27" i="3"/>
  <c r="I25" i="3"/>
  <c r="L32" i="6"/>
  <c r="F23" i="3"/>
  <c r="F26" i="3"/>
  <c r="F25" i="3"/>
  <c r="F24" i="3"/>
  <c r="F27" i="3"/>
  <c r="K23" i="3"/>
  <c r="Z23" i="3" s="1"/>
  <c r="K24" i="3"/>
  <c r="Z24" i="3" s="1"/>
  <c r="K25" i="3"/>
  <c r="Z25" i="3" s="1"/>
  <c r="K26" i="3"/>
  <c r="Z26" i="3" s="1"/>
  <c r="K27" i="3"/>
  <c r="Z27" i="3" s="1"/>
  <c r="J26" i="5"/>
  <c r="J25" i="5"/>
  <c r="J27" i="5"/>
  <c r="J23" i="5"/>
  <c r="J24" i="5"/>
  <c r="I25" i="5"/>
  <c r="I27" i="5"/>
  <c r="I23" i="5"/>
  <c r="I26" i="5"/>
  <c r="I24" i="5"/>
  <c r="J32" i="5"/>
  <c r="J24" i="3"/>
  <c r="J26" i="3"/>
  <c r="J23" i="3"/>
  <c r="J27" i="3"/>
  <c r="J25" i="3"/>
  <c r="I23" i="2"/>
  <c r="I27" i="2"/>
  <c r="I24" i="2"/>
  <c r="I25" i="2"/>
  <c r="I26" i="2"/>
  <c r="F25" i="6"/>
  <c r="F23" i="6"/>
  <c r="F27" i="6"/>
  <c r="F26" i="6"/>
  <c r="F24" i="6"/>
  <c r="F24" i="5"/>
  <c r="F23" i="5"/>
  <c r="F27" i="5"/>
  <c r="F25" i="5"/>
  <c r="F26" i="5"/>
  <c r="L32" i="4"/>
  <c r="F25" i="4"/>
  <c r="F24" i="4"/>
  <c r="F27" i="4"/>
  <c r="F26" i="4"/>
  <c r="F23" i="4"/>
  <c r="I23" i="6"/>
  <c r="I27" i="6"/>
  <c r="I24" i="6"/>
  <c r="I26" i="6"/>
  <c r="I25" i="6"/>
  <c r="M25" i="3"/>
  <c r="M27" i="3"/>
  <c r="M24" i="3"/>
  <c r="M26" i="3"/>
  <c r="M23" i="3"/>
  <c r="L32" i="3"/>
  <c r="K23" i="6"/>
  <c r="K24" i="6"/>
  <c r="Z24" i="6" s="1"/>
  <c r="K25" i="6"/>
  <c r="K26" i="6"/>
  <c r="K27" i="6"/>
  <c r="G26" i="2"/>
  <c r="G25" i="2"/>
  <c r="G27" i="2"/>
  <c r="G23" i="2"/>
  <c r="G24" i="2"/>
  <c r="F26" i="2"/>
  <c r="F25" i="2"/>
  <c r="F27" i="2"/>
  <c r="F23" i="2"/>
  <c r="F24" i="2"/>
  <c r="F32" i="5"/>
  <c r="K23" i="5"/>
  <c r="K24" i="5"/>
  <c r="K25" i="5"/>
  <c r="Z25" i="5" s="1"/>
  <c r="K26" i="5"/>
  <c r="K27" i="5"/>
  <c r="I32" i="5"/>
  <c r="J24" i="2"/>
  <c r="J23" i="2"/>
  <c r="J27" i="2"/>
  <c r="J26" i="2"/>
  <c r="J25" i="2"/>
  <c r="K23" i="4"/>
  <c r="Z23" i="4" s="1"/>
  <c r="K24" i="4"/>
  <c r="Z24" i="4" s="1"/>
  <c r="K25" i="4"/>
  <c r="Z25" i="4" s="1"/>
  <c r="K26" i="4"/>
  <c r="Z26" i="4" s="1"/>
  <c r="K27" i="4"/>
  <c r="K23" i="2"/>
  <c r="K24" i="2"/>
  <c r="K25" i="2"/>
  <c r="K26" i="2"/>
  <c r="K27" i="2"/>
  <c r="E24" i="2"/>
  <c r="E27" i="2"/>
  <c r="E25" i="2"/>
  <c r="E23" i="2"/>
  <c r="E26" i="2"/>
  <c r="D32" i="3"/>
  <c r="R32" i="3" s="1"/>
  <c r="E25" i="3"/>
  <c r="E23" i="3"/>
  <c r="E26" i="3"/>
  <c r="E24" i="3"/>
  <c r="E27" i="3"/>
  <c r="D32" i="6"/>
  <c r="R32" i="6" s="1"/>
  <c r="D32" i="4"/>
  <c r="R32" i="4" s="1"/>
  <c r="E32" i="5"/>
  <c r="S32" i="5" s="1"/>
  <c r="D32" i="2"/>
  <c r="R32" i="2" s="1"/>
  <c r="E25" i="5"/>
  <c r="E23" i="5"/>
  <c r="E26" i="5"/>
  <c r="E24" i="5"/>
  <c r="E27" i="5"/>
  <c r="E27" i="4"/>
  <c r="E25" i="4"/>
  <c r="E23" i="4"/>
  <c r="E26" i="4"/>
  <c r="E24" i="4"/>
  <c r="E23" i="6"/>
  <c r="E26" i="6"/>
  <c r="E24" i="6"/>
  <c r="E27" i="6"/>
  <c r="E25" i="6"/>
  <c r="Y11" i="4"/>
  <c r="V10" i="2"/>
  <c r="X10" i="6"/>
  <c r="AB10" i="3"/>
  <c r="T11" i="4"/>
  <c r="T10" i="4"/>
  <c r="T10" i="3"/>
  <c r="X10" i="5"/>
  <c r="X11" i="2"/>
  <c r="X11" i="4"/>
  <c r="Y11" i="3"/>
  <c r="X10" i="2"/>
  <c r="X10" i="3"/>
  <c r="T10" i="6"/>
  <c r="Y11" i="6"/>
  <c r="T11" i="6"/>
  <c r="U11" i="2"/>
  <c r="AA11" i="3"/>
  <c r="AB11" i="3"/>
  <c r="G10" i="3"/>
  <c r="G11" i="3"/>
  <c r="T11" i="2"/>
  <c r="M10" i="6"/>
  <c r="AB10" i="6" s="1"/>
  <c r="M11" i="6"/>
  <c r="U10" i="2"/>
  <c r="Y10" i="6"/>
  <c r="X11" i="6"/>
  <c r="Z11" i="4"/>
  <c r="M10" i="2"/>
  <c r="AA10" i="2" s="1"/>
  <c r="M11" i="2"/>
  <c r="X10" i="4"/>
  <c r="Y11" i="2"/>
  <c r="G10" i="4"/>
  <c r="U10" i="4" s="1"/>
  <c r="G11" i="4"/>
  <c r="T11" i="3"/>
  <c r="Z11" i="3"/>
  <c r="G10" i="6"/>
  <c r="U10" i="6" s="1"/>
  <c r="G11" i="6"/>
  <c r="Y10" i="2"/>
  <c r="M10" i="4"/>
  <c r="AA10" i="4" s="1"/>
  <c r="M11" i="4"/>
  <c r="T10" i="2"/>
  <c r="X11" i="3"/>
  <c r="Z11" i="2"/>
  <c r="Z11" i="6"/>
  <c r="T10" i="5"/>
  <c r="Y11" i="5"/>
  <c r="T11" i="5"/>
  <c r="M10" i="5"/>
  <c r="AA10" i="5" s="1"/>
  <c r="M11" i="5"/>
  <c r="Y10" i="5"/>
  <c r="X11" i="5"/>
  <c r="G10" i="5"/>
  <c r="U10" i="5" s="1"/>
  <c r="G11" i="5"/>
  <c r="Z11" i="5"/>
  <c r="Y10" i="3"/>
  <c r="Z10" i="3"/>
  <c r="Y10" i="4"/>
  <c r="Z10" i="4"/>
  <c r="Z29" i="5"/>
  <c r="W20" i="6"/>
  <c r="W20" i="5"/>
  <c r="Z20" i="6"/>
  <c r="S20" i="6"/>
  <c r="S20" i="5"/>
  <c r="V20" i="2"/>
  <c r="Z20" i="4"/>
  <c r="X9" i="5"/>
  <c r="X8" i="3"/>
  <c r="X9" i="6"/>
  <c r="T9" i="6"/>
  <c r="T8" i="5"/>
  <c r="T9" i="5"/>
  <c r="T8" i="3"/>
  <c r="X8" i="6"/>
  <c r="T9" i="4"/>
  <c r="Y8" i="2"/>
  <c r="X8" i="2"/>
  <c r="Y20" i="3"/>
  <c r="K29" i="3"/>
  <c r="K21" i="3"/>
  <c r="K22" i="3"/>
  <c r="Z22" i="3" s="1"/>
  <c r="Y8" i="4"/>
  <c r="X8" i="4"/>
  <c r="D30" i="6"/>
  <c r="R30" i="6" s="1"/>
  <c r="D31" i="6"/>
  <c r="R31" i="6" s="1"/>
  <c r="R29" i="6"/>
  <c r="L30" i="3"/>
  <c r="L31" i="3"/>
  <c r="Y8" i="6"/>
  <c r="F22" i="6"/>
  <c r="F29" i="6"/>
  <c r="F21" i="6"/>
  <c r="T20" i="6"/>
  <c r="X9" i="4"/>
  <c r="Y9" i="2"/>
  <c r="J31" i="5"/>
  <c r="J30" i="5"/>
  <c r="X29" i="5"/>
  <c r="X20" i="2"/>
  <c r="I21" i="2"/>
  <c r="W20" i="2"/>
  <c r="I29" i="2"/>
  <c r="I22" i="2"/>
  <c r="G20" i="5"/>
  <c r="G29" i="5"/>
  <c r="G8" i="5"/>
  <c r="G9" i="5"/>
  <c r="U7" i="5"/>
  <c r="V7" i="5"/>
  <c r="K21" i="5"/>
  <c r="K22" i="5"/>
  <c r="Z22" i="5" s="1"/>
  <c r="K29" i="4"/>
  <c r="K22" i="4"/>
  <c r="K21" i="4"/>
  <c r="Z21" i="4" s="1"/>
  <c r="Y20" i="4"/>
  <c r="U9" i="2"/>
  <c r="AB7" i="6"/>
  <c r="M20" i="6"/>
  <c r="M9" i="6"/>
  <c r="M8" i="6"/>
  <c r="AA7" i="6"/>
  <c r="E30" i="5"/>
  <c r="S29" i="5"/>
  <c r="E31" i="5"/>
  <c r="S31" i="5" s="1"/>
  <c r="AB9" i="3"/>
  <c r="AA9" i="3"/>
  <c r="W20" i="3"/>
  <c r="I29" i="3"/>
  <c r="I22" i="3"/>
  <c r="I21" i="3"/>
  <c r="J29" i="3"/>
  <c r="J22" i="3"/>
  <c r="J21" i="3"/>
  <c r="X20" i="3"/>
  <c r="F29" i="4"/>
  <c r="F22" i="4"/>
  <c r="F21" i="4"/>
  <c r="T20" i="4"/>
  <c r="G20" i="4"/>
  <c r="G8" i="4"/>
  <c r="U8" i="4" s="1"/>
  <c r="G9" i="4"/>
  <c r="U7" i="4"/>
  <c r="V7" i="4"/>
  <c r="K29" i="6"/>
  <c r="K22" i="6"/>
  <c r="Z22" i="6" s="1"/>
  <c r="K21" i="6"/>
  <c r="Z21" i="6" s="1"/>
  <c r="F29" i="2"/>
  <c r="F22" i="2"/>
  <c r="F21" i="2"/>
  <c r="D30" i="4"/>
  <c r="R30" i="4" s="1"/>
  <c r="D31" i="4"/>
  <c r="R31" i="4" s="1"/>
  <c r="R29" i="4"/>
  <c r="Z20" i="2"/>
  <c r="K22" i="2"/>
  <c r="K29" i="2"/>
  <c r="K21" i="2"/>
  <c r="Y20" i="2"/>
  <c r="S20" i="3"/>
  <c r="E21" i="3"/>
  <c r="E29" i="3"/>
  <c r="E22" i="3"/>
  <c r="S22" i="3" s="1"/>
  <c r="AA7" i="5"/>
  <c r="M20" i="5"/>
  <c r="M9" i="5"/>
  <c r="M29" i="5"/>
  <c r="M8" i="5"/>
  <c r="AB7" i="5"/>
  <c r="R21" i="6"/>
  <c r="F29" i="3"/>
  <c r="F21" i="3"/>
  <c r="T20" i="3"/>
  <c r="F22" i="3"/>
  <c r="D30" i="3"/>
  <c r="R30" i="3" s="1"/>
  <c r="D31" i="3"/>
  <c r="R31" i="3" s="1"/>
  <c r="R29" i="3"/>
  <c r="I21" i="6"/>
  <c r="I29" i="6"/>
  <c r="I22" i="6"/>
  <c r="AA8" i="3"/>
  <c r="AB8" i="3"/>
  <c r="I29" i="4"/>
  <c r="I21" i="4"/>
  <c r="I22" i="4"/>
  <c r="W20" i="4"/>
  <c r="D30" i="2"/>
  <c r="R30" i="2" s="1"/>
  <c r="D31" i="2"/>
  <c r="R29" i="2"/>
  <c r="R21" i="2"/>
  <c r="I22" i="5"/>
  <c r="I21" i="5"/>
  <c r="Y20" i="5"/>
  <c r="J22" i="5"/>
  <c r="J21" i="5"/>
  <c r="X20" i="5"/>
  <c r="X9" i="2"/>
  <c r="V8" i="2"/>
  <c r="Y8" i="3"/>
  <c r="M20" i="4"/>
  <c r="M9" i="4"/>
  <c r="M8" i="4"/>
  <c r="AA7" i="4"/>
  <c r="AB7" i="4"/>
  <c r="R21" i="4"/>
  <c r="G21" i="2"/>
  <c r="G22" i="2"/>
  <c r="G29" i="2"/>
  <c r="U20" i="2"/>
  <c r="I31" i="5"/>
  <c r="I30" i="5"/>
  <c r="W29" i="5"/>
  <c r="T8" i="4"/>
  <c r="AA7" i="2"/>
  <c r="M9" i="2"/>
  <c r="M20" i="2"/>
  <c r="M8" i="2"/>
  <c r="AB7" i="2"/>
  <c r="F30" i="5"/>
  <c r="F31" i="5"/>
  <c r="T29" i="5"/>
  <c r="AA20" i="3"/>
  <c r="M21" i="3"/>
  <c r="M22" i="3"/>
  <c r="M29" i="3"/>
  <c r="AB20" i="3"/>
  <c r="E22" i="6"/>
  <c r="S22" i="6" s="1"/>
  <c r="E29" i="6"/>
  <c r="E21" i="6"/>
  <c r="S21" i="6" s="1"/>
  <c r="Y9" i="6"/>
  <c r="E22" i="4"/>
  <c r="S22" i="4" s="1"/>
  <c r="E29" i="4"/>
  <c r="E21" i="4"/>
  <c r="S21" i="4" s="1"/>
  <c r="S20" i="4"/>
  <c r="T9" i="3"/>
  <c r="S9" i="3"/>
  <c r="T20" i="2"/>
  <c r="E22" i="2"/>
  <c r="S22" i="2" s="1"/>
  <c r="E29" i="2"/>
  <c r="E21" i="2"/>
  <c r="S21" i="2" s="1"/>
  <c r="S20" i="2"/>
  <c r="U8" i="2"/>
  <c r="T8" i="2"/>
  <c r="Y20" i="6"/>
  <c r="J21" i="6"/>
  <c r="J29" i="6"/>
  <c r="J22" i="6"/>
  <c r="X20" i="6"/>
  <c r="Y9" i="5"/>
  <c r="Z20" i="5"/>
  <c r="J29" i="4"/>
  <c r="J22" i="4"/>
  <c r="J21" i="4"/>
  <c r="X20" i="4"/>
  <c r="E21" i="5"/>
  <c r="S21" i="5" s="1"/>
  <c r="E22" i="5"/>
  <c r="S22" i="5" s="1"/>
  <c r="X9" i="3"/>
  <c r="W9" i="3"/>
  <c r="Y29" i="5"/>
  <c r="K31" i="5"/>
  <c r="K30" i="5"/>
  <c r="L30" i="6"/>
  <c r="L31" i="6"/>
  <c r="Y8" i="5"/>
  <c r="X8" i="5"/>
  <c r="F21" i="5"/>
  <c r="F22" i="5"/>
  <c r="T20" i="5"/>
  <c r="G20" i="6"/>
  <c r="G8" i="6"/>
  <c r="G9" i="6"/>
  <c r="U7" i="6"/>
  <c r="V7" i="6"/>
  <c r="Z20" i="3"/>
  <c r="J21" i="2"/>
  <c r="J29" i="2"/>
  <c r="J22" i="2"/>
  <c r="G20" i="3"/>
  <c r="G8" i="3"/>
  <c r="G9" i="3"/>
  <c r="U7" i="3"/>
  <c r="V7" i="3"/>
  <c r="T9" i="2"/>
  <c r="T8" i="6"/>
  <c r="Y9" i="4"/>
  <c r="Z9" i="3"/>
  <c r="Y9" i="3"/>
  <c r="L30" i="4"/>
  <c r="L31" i="4"/>
  <c r="Y36" i="5" l="1"/>
  <c r="X37" i="5"/>
  <c r="T35" i="5"/>
  <c r="W38" i="5"/>
  <c r="W35" i="5"/>
  <c r="O29" i="6"/>
  <c r="H33" i="6"/>
  <c r="H34" i="6"/>
  <c r="H35" i="6"/>
  <c r="O35" i="6" s="1"/>
  <c r="K33" i="6"/>
  <c r="K35" i="6"/>
  <c r="Z35" i="6" s="1"/>
  <c r="K34" i="6"/>
  <c r="Z34" i="6" s="1"/>
  <c r="J33" i="6"/>
  <c r="J34" i="6"/>
  <c r="J35" i="6"/>
  <c r="E33" i="6"/>
  <c r="E34" i="6"/>
  <c r="S34" i="6" s="1"/>
  <c r="E35" i="6"/>
  <c r="S35" i="6" s="1"/>
  <c r="I34" i="6"/>
  <c r="I35" i="6"/>
  <c r="I33" i="6"/>
  <c r="F35" i="6"/>
  <c r="F34" i="6"/>
  <c r="F33" i="6"/>
  <c r="E34" i="3"/>
  <c r="S34" i="3" s="1"/>
  <c r="E35" i="3"/>
  <c r="S35" i="3" s="1"/>
  <c r="E36" i="3"/>
  <c r="S36" i="3" s="1"/>
  <c r="E33" i="3"/>
  <c r="S33" i="3" s="1"/>
  <c r="I35" i="3"/>
  <c r="I34" i="3"/>
  <c r="I33" i="3"/>
  <c r="I36" i="3"/>
  <c r="J36" i="3"/>
  <c r="J35" i="3"/>
  <c r="J33" i="3"/>
  <c r="J34" i="3"/>
  <c r="O29" i="3"/>
  <c r="H33" i="3"/>
  <c r="H36" i="3"/>
  <c r="H34" i="3"/>
  <c r="H35" i="3"/>
  <c r="M34" i="3"/>
  <c r="M35" i="3"/>
  <c r="M33" i="3"/>
  <c r="M36" i="3"/>
  <c r="K33" i="3"/>
  <c r="Z33" i="3" s="1"/>
  <c r="K34" i="3"/>
  <c r="Z34" i="3" s="1"/>
  <c r="K35" i="3"/>
  <c r="K36" i="3"/>
  <c r="Z36" i="3" s="1"/>
  <c r="F36" i="3"/>
  <c r="F33" i="3"/>
  <c r="T33" i="3" s="1"/>
  <c r="F34" i="3"/>
  <c r="F35" i="3"/>
  <c r="T35" i="3" s="1"/>
  <c r="T37" i="5"/>
  <c r="W33" i="5"/>
  <c r="T34" i="5"/>
  <c r="G33" i="5"/>
  <c r="V33" i="5" s="1"/>
  <c r="G34" i="5"/>
  <c r="U34" i="5" s="1"/>
  <c r="G37" i="5"/>
  <c r="U37" i="5" s="1"/>
  <c r="G38" i="5"/>
  <c r="G36" i="5"/>
  <c r="U36" i="5" s="1"/>
  <c r="G35" i="5"/>
  <c r="U35" i="5" s="1"/>
  <c r="O37" i="5"/>
  <c r="Z36" i="5"/>
  <c r="Z33" i="5"/>
  <c r="O36" i="5"/>
  <c r="X38" i="5"/>
  <c r="T33" i="5"/>
  <c r="Y37" i="5"/>
  <c r="O34" i="5"/>
  <c r="Z37" i="5"/>
  <c r="T36" i="5"/>
  <c r="S36" i="5"/>
  <c r="Y38" i="5"/>
  <c r="W37" i="5"/>
  <c r="O33" i="5"/>
  <c r="X35" i="5"/>
  <c r="Z34" i="5"/>
  <c r="Y34" i="5"/>
  <c r="X36" i="5"/>
  <c r="M34" i="5"/>
  <c r="M35" i="5"/>
  <c r="M38" i="5"/>
  <c r="M36" i="5"/>
  <c r="M37" i="5"/>
  <c r="M33" i="5"/>
  <c r="T38" i="5"/>
  <c r="Y35" i="5"/>
  <c r="W34" i="5"/>
  <c r="O35" i="5"/>
  <c r="X34" i="5"/>
  <c r="I35" i="4"/>
  <c r="I34" i="4"/>
  <c r="I33" i="4"/>
  <c r="I36" i="4"/>
  <c r="O29" i="4"/>
  <c r="H35" i="4"/>
  <c r="H34" i="4"/>
  <c r="H33" i="4"/>
  <c r="H36" i="4"/>
  <c r="R33" i="4"/>
  <c r="Z35" i="4"/>
  <c r="J33" i="4"/>
  <c r="J36" i="4"/>
  <c r="J35" i="4"/>
  <c r="J34" i="4"/>
  <c r="K34" i="4"/>
  <c r="K33" i="4"/>
  <c r="Z33" i="4" s="1"/>
  <c r="K35" i="4"/>
  <c r="K36" i="4"/>
  <c r="E36" i="4"/>
  <c r="S36" i="4" s="1"/>
  <c r="E34" i="4"/>
  <c r="S34" i="4" s="1"/>
  <c r="E35" i="4"/>
  <c r="S35" i="4" s="1"/>
  <c r="E33" i="4"/>
  <c r="S33" i="4" s="1"/>
  <c r="F33" i="4"/>
  <c r="F36" i="4"/>
  <c r="F34" i="4"/>
  <c r="F35" i="4"/>
  <c r="Z21" i="2"/>
  <c r="L30" i="2"/>
  <c r="Z26" i="2"/>
  <c r="L32" i="2"/>
  <c r="Z27" i="2"/>
  <c r="Z22" i="2"/>
  <c r="W21" i="4"/>
  <c r="W25" i="4"/>
  <c r="W22" i="4"/>
  <c r="W26" i="4"/>
  <c r="W24" i="4"/>
  <c r="H30" i="4"/>
  <c r="O30" i="4" s="1"/>
  <c r="H31" i="4"/>
  <c r="O31" i="4" s="1"/>
  <c r="W23" i="4"/>
  <c r="W22" i="6"/>
  <c r="H32" i="4"/>
  <c r="O32" i="4" s="1"/>
  <c r="W27" i="4"/>
  <c r="W21" i="6"/>
  <c r="W26" i="2"/>
  <c r="W23" i="3"/>
  <c r="W26" i="6"/>
  <c r="H31" i="6"/>
  <c r="O31" i="6" s="1"/>
  <c r="H30" i="6"/>
  <c r="O30" i="6" s="1"/>
  <c r="W27" i="3"/>
  <c r="W26" i="3"/>
  <c r="W22" i="3"/>
  <c r="W24" i="6"/>
  <c r="W24" i="3"/>
  <c r="H32" i="6"/>
  <c r="O32" i="6" s="1"/>
  <c r="H30" i="3"/>
  <c r="O30" i="3" s="1"/>
  <c r="W25" i="5"/>
  <c r="W25" i="6"/>
  <c r="W24" i="2"/>
  <c r="H31" i="3"/>
  <c r="O31" i="3" s="1"/>
  <c r="H32" i="3"/>
  <c r="O32" i="3" s="1"/>
  <c r="W27" i="6"/>
  <c r="W23" i="6"/>
  <c r="W22" i="5"/>
  <c r="W25" i="3"/>
  <c r="H30" i="2"/>
  <c r="O30" i="2" s="1"/>
  <c r="H31" i="2"/>
  <c r="O31" i="2" s="1"/>
  <c r="W23" i="2"/>
  <c r="V26" i="2"/>
  <c r="W27" i="2"/>
  <c r="V27" i="2"/>
  <c r="W32" i="5"/>
  <c r="V22" i="2"/>
  <c r="W21" i="5"/>
  <c r="W26" i="5"/>
  <c r="W22" i="2"/>
  <c r="W31" i="5"/>
  <c r="H32" i="2"/>
  <c r="O32" i="2" s="1"/>
  <c r="W23" i="5"/>
  <c r="W21" i="2"/>
  <c r="V23" i="2"/>
  <c r="W27" i="5"/>
  <c r="V25" i="2"/>
  <c r="W25" i="2"/>
  <c r="W24" i="5"/>
  <c r="X27" i="2"/>
  <c r="Y27" i="6"/>
  <c r="Y23" i="2"/>
  <c r="X24" i="3"/>
  <c r="Y23" i="5"/>
  <c r="Y25" i="2"/>
  <c r="Y23" i="6"/>
  <c r="Y26" i="6"/>
  <c r="X25" i="2"/>
  <c r="X26" i="3"/>
  <c r="X27" i="4"/>
  <c r="Y27" i="4"/>
  <c r="X25" i="4"/>
  <c r="X23" i="2"/>
  <c r="Y24" i="6"/>
  <c r="Y27" i="3"/>
  <c r="X27" i="5"/>
  <c r="Y24" i="5"/>
  <c r="X26" i="5"/>
  <c r="Y24" i="2"/>
  <c r="X32" i="5"/>
  <c r="G25" i="4"/>
  <c r="G24" i="4"/>
  <c r="G26" i="4"/>
  <c r="G27" i="4"/>
  <c r="G23" i="4"/>
  <c r="K32" i="4"/>
  <c r="Z32" i="4" s="1"/>
  <c r="X26" i="2"/>
  <c r="G32" i="5"/>
  <c r="X25" i="6"/>
  <c r="G32" i="2"/>
  <c r="F32" i="4"/>
  <c r="Y26" i="4"/>
  <c r="Y26" i="3"/>
  <c r="G23" i="3"/>
  <c r="G27" i="3"/>
  <c r="G24" i="3"/>
  <c r="G26" i="3"/>
  <c r="G25" i="3"/>
  <c r="M24" i="2"/>
  <c r="M26" i="2"/>
  <c r="M27" i="2"/>
  <c r="M25" i="2"/>
  <c r="M23" i="2"/>
  <c r="K32" i="3"/>
  <c r="Y32" i="5"/>
  <c r="Y25" i="4"/>
  <c r="U27" i="2"/>
  <c r="AA25" i="3"/>
  <c r="AB25" i="3"/>
  <c r="Z23" i="6"/>
  <c r="X25" i="3"/>
  <c r="Z27" i="4"/>
  <c r="Y25" i="3"/>
  <c r="Z24" i="5"/>
  <c r="X24" i="6"/>
  <c r="F32" i="3"/>
  <c r="J32" i="3"/>
  <c r="M23" i="4"/>
  <c r="M27" i="4"/>
  <c r="M25" i="4"/>
  <c r="M26" i="4"/>
  <c r="M24" i="4"/>
  <c r="X25" i="5"/>
  <c r="X24" i="4"/>
  <c r="F32" i="6"/>
  <c r="Y27" i="5"/>
  <c r="AA26" i="3"/>
  <c r="AB26" i="3"/>
  <c r="I32" i="3"/>
  <c r="G24" i="5"/>
  <c r="G23" i="5"/>
  <c r="G25" i="5"/>
  <c r="G26" i="5"/>
  <c r="G27" i="5"/>
  <c r="M32" i="5"/>
  <c r="AB32" i="5" s="1"/>
  <c r="Z27" i="5"/>
  <c r="Y25" i="6"/>
  <c r="X26" i="6"/>
  <c r="J32" i="6"/>
  <c r="I32" i="4"/>
  <c r="I32" i="6"/>
  <c r="M26" i="5"/>
  <c r="M25" i="5"/>
  <c r="M27" i="5"/>
  <c r="M23" i="5"/>
  <c r="M24" i="5"/>
  <c r="K32" i="2"/>
  <c r="M24" i="6"/>
  <c r="M23" i="6"/>
  <c r="M26" i="6"/>
  <c r="M25" i="6"/>
  <c r="M27" i="6"/>
  <c r="I32" i="2"/>
  <c r="Y27" i="2"/>
  <c r="Y24" i="4"/>
  <c r="U25" i="2"/>
  <c r="X27" i="3"/>
  <c r="X24" i="5"/>
  <c r="Y24" i="3"/>
  <c r="X27" i="6"/>
  <c r="G26" i="6"/>
  <c r="G27" i="6"/>
  <c r="G23" i="6"/>
  <c r="G25" i="6"/>
  <c r="G24" i="6"/>
  <c r="J32" i="4"/>
  <c r="AA23" i="3"/>
  <c r="AB23" i="3"/>
  <c r="Z25" i="2"/>
  <c r="K32" i="6"/>
  <c r="Z32" i="6" s="1"/>
  <c r="X26" i="4"/>
  <c r="M32" i="3"/>
  <c r="AB32" i="3" s="1"/>
  <c r="Y26" i="5"/>
  <c r="U24" i="2"/>
  <c r="AA24" i="3"/>
  <c r="AB24" i="3"/>
  <c r="Z26" i="5"/>
  <c r="Z24" i="2"/>
  <c r="X24" i="2"/>
  <c r="Y25" i="5"/>
  <c r="U23" i="2"/>
  <c r="AA27" i="3"/>
  <c r="AB27" i="3"/>
  <c r="Z25" i="6"/>
  <c r="X23" i="4"/>
  <c r="J32" i="2"/>
  <c r="F32" i="2"/>
  <c r="Y26" i="2"/>
  <c r="Y23" i="4"/>
  <c r="U26" i="2"/>
  <c r="V24" i="2"/>
  <c r="Z26" i="6"/>
  <c r="Z27" i="6"/>
  <c r="X23" i="3"/>
  <c r="X23" i="5"/>
  <c r="Y23" i="3"/>
  <c r="Z23" i="5"/>
  <c r="Z23" i="2"/>
  <c r="X23" i="6"/>
  <c r="T32" i="5"/>
  <c r="T23" i="6"/>
  <c r="S23" i="6"/>
  <c r="S23" i="4"/>
  <c r="T23" i="4"/>
  <c r="S25" i="4"/>
  <c r="T25" i="4"/>
  <c r="S26" i="3"/>
  <c r="T26" i="3"/>
  <c r="T23" i="3"/>
  <c r="S23" i="3"/>
  <c r="E32" i="6"/>
  <c r="S32" i="6" s="1"/>
  <c r="T25" i="3"/>
  <c r="S25" i="3"/>
  <c r="T27" i="6"/>
  <c r="S27" i="6"/>
  <c r="S26" i="5"/>
  <c r="T26" i="5"/>
  <c r="S25" i="2"/>
  <c r="T25" i="2"/>
  <c r="E32" i="4"/>
  <c r="S32" i="4" s="1"/>
  <c r="E32" i="2"/>
  <c r="S32" i="2" s="1"/>
  <c r="S27" i="4"/>
  <c r="T27" i="4"/>
  <c r="S27" i="5"/>
  <c r="T27" i="5"/>
  <c r="S24" i="6"/>
  <c r="T24" i="6"/>
  <c r="S24" i="4"/>
  <c r="T24" i="4"/>
  <c r="T23" i="5"/>
  <c r="S23" i="5"/>
  <c r="S27" i="2"/>
  <c r="T27" i="2"/>
  <c r="S27" i="3"/>
  <c r="T27" i="3"/>
  <c r="S24" i="3"/>
  <c r="T24" i="3"/>
  <c r="S26" i="2"/>
  <c r="T26" i="2"/>
  <c r="S25" i="6"/>
  <c r="T25" i="6"/>
  <c r="S24" i="5"/>
  <c r="T24" i="5"/>
  <c r="S23" i="2"/>
  <c r="T23" i="2"/>
  <c r="E32" i="3"/>
  <c r="S32" i="3" s="1"/>
  <c r="S26" i="6"/>
  <c r="T26" i="6"/>
  <c r="S26" i="4"/>
  <c r="T26" i="4"/>
  <c r="T25" i="5"/>
  <c r="S25" i="5"/>
  <c r="S24" i="2"/>
  <c r="T24" i="2"/>
  <c r="U10" i="3"/>
  <c r="V10" i="4"/>
  <c r="V10" i="5"/>
  <c r="V10" i="6"/>
  <c r="AA10" i="6"/>
  <c r="AA11" i="2"/>
  <c r="AB11" i="2"/>
  <c r="AB11" i="4"/>
  <c r="AA11" i="4"/>
  <c r="U11" i="4"/>
  <c r="V11" i="4"/>
  <c r="AB10" i="4"/>
  <c r="U11" i="3"/>
  <c r="V11" i="3"/>
  <c r="AB10" i="2"/>
  <c r="AA11" i="6"/>
  <c r="AB11" i="6"/>
  <c r="V10" i="3"/>
  <c r="U11" i="6"/>
  <c r="V11" i="6"/>
  <c r="AB10" i="5"/>
  <c r="AA11" i="5"/>
  <c r="AB11" i="5"/>
  <c r="U11" i="5"/>
  <c r="V11" i="5"/>
  <c r="Z29" i="3"/>
  <c r="Z29" i="6"/>
  <c r="V29" i="2"/>
  <c r="Z29" i="2"/>
  <c r="U20" i="5"/>
  <c r="T21" i="5"/>
  <c r="X22" i="6"/>
  <c r="X22" i="4"/>
  <c r="Y21" i="5"/>
  <c r="Y31" i="5"/>
  <c r="Y22" i="4"/>
  <c r="T21" i="4"/>
  <c r="X22" i="2"/>
  <c r="T22" i="3"/>
  <c r="T22" i="5"/>
  <c r="V21" i="2"/>
  <c r="Z31" i="5"/>
  <c r="T22" i="4"/>
  <c r="T31" i="5"/>
  <c r="AA29" i="5"/>
  <c r="M31" i="5"/>
  <c r="M30" i="5"/>
  <c r="AB29" i="5"/>
  <c r="E30" i="3"/>
  <c r="S30" i="3" s="1"/>
  <c r="S29" i="3"/>
  <c r="E31" i="3"/>
  <c r="S31" i="3" s="1"/>
  <c r="U21" i="2"/>
  <c r="T21" i="2"/>
  <c r="F31" i="4"/>
  <c r="F30" i="4"/>
  <c r="T29" i="4"/>
  <c r="M22" i="6"/>
  <c r="M29" i="6"/>
  <c r="M21" i="6"/>
  <c r="AB20" i="6"/>
  <c r="AA20" i="6"/>
  <c r="G22" i="5"/>
  <c r="G21" i="5"/>
  <c r="V20" i="5"/>
  <c r="X31" i="5"/>
  <c r="F31" i="6"/>
  <c r="F30" i="6"/>
  <c r="T29" i="6"/>
  <c r="U9" i="3"/>
  <c r="V9" i="3"/>
  <c r="R31" i="2"/>
  <c r="U8" i="3"/>
  <c r="V8" i="3"/>
  <c r="U9" i="4"/>
  <c r="V9" i="4"/>
  <c r="G30" i="5"/>
  <c r="G31" i="5"/>
  <c r="U29" i="5"/>
  <c r="V29" i="5"/>
  <c r="U20" i="3"/>
  <c r="G29" i="3"/>
  <c r="G22" i="3"/>
  <c r="G21" i="3"/>
  <c r="V20" i="3"/>
  <c r="AA22" i="3"/>
  <c r="AB22" i="3"/>
  <c r="G21" i="6"/>
  <c r="U21" i="6" s="1"/>
  <c r="G22" i="6"/>
  <c r="G29" i="6"/>
  <c r="V20" i="6"/>
  <c r="X21" i="4"/>
  <c r="AB21" i="3"/>
  <c r="AA21" i="3"/>
  <c r="G31" i="2"/>
  <c r="G30" i="2"/>
  <c r="U29" i="2"/>
  <c r="F30" i="3"/>
  <c r="F31" i="3"/>
  <c r="T29" i="3"/>
  <c r="AA9" i="5"/>
  <c r="AB9" i="5"/>
  <c r="T21" i="3"/>
  <c r="S21" i="3"/>
  <c r="Y22" i="2"/>
  <c r="T22" i="2"/>
  <c r="V8" i="4"/>
  <c r="W29" i="3"/>
  <c r="I31" i="3"/>
  <c r="I30" i="3"/>
  <c r="T30" i="5"/>
  <c r="S30" i="5"/>
  <c r="T22" i="6"/>
  <c r="AB8" i="2"/>
  <c r="AA8" i="2"/>
  <c r="AB9" i="6"/>
  <c r="AA9" i="6"/>
  <c r="Z21" i="5"/>
  <c r="S29" i="6"/>
  <c r="E30" i="6"/>
  <c r="S30" i="6" s="1"/>
  <c r="E31" i="6"/>
  <c r="AA9" i="2"/>
  <c r="AB9" i="2"/>
  <c r="J30" i="6"/>
  <c r="J31" i="6"/>
  <c r="X29" i="6"/>
  <c r="U22" i="2"/>
  <c r="W29" i="6"/>
  <c r="I31" i="6"/>
  <c r="I30" i="6"/>
  <c r="F30" i="2"/>
  <c r="F31" i="2"/>
  <c r="T29" i="2"/>
  <c r="Y22" i="6"/>
  <c r="U20" i="6"/>
  <c r="U9" i="6"/>
  <c r="V9" i="6"/>
  <c r="U8" i="5"/>
  <c r="V8" i="5"/>
  <c r="AB20" i="2"/>
  <c r="M22" i="2"/>
  <c r="M29" i="2"/>
  <c r="M21" i="2"/>
  <c r="AA20" i="2"/>
  <c r="M22" i="4"/>
  <c r="M29" i="4"/>
  <c r="M21" i="4"/>
  <c r="AA20" i="4"/>
  <c r="AB20" i="4"/>
  <c r="AA8" i="5"/>
  <c r="AB8" i="5"/>
  <c r="U8" i="6"/>
  <c r="V8" i="6"/>
  <c r="I31" i="4"/>
  <c r="I30" i="4"/>
  <c r="W29" i="4"/>
  <c r="K30" i="2"/>
  <c r="K31" i="2"/>
  <c r="Z31" i="2" s="1"/>
  <c r="Y29" i="2"/>
  <c r="T21" i="6"/>
  <c r="J31" i="2"/>
  <c r="J30" i="2"/>
  <c r="X29" i="2"/>
  <c r="Z30" i="5"/>
  <c r="Y30" i="5"/>
  <c r="J30" i="4"/>
  <c r="J31" i="4"/>
  <c r="X29" i="4"/>
  <c r="Y21" i="6"/>
  <c r="X21" i="6"/>
  <c r="E30" i="2"/>
  <c r="S30" i="2" s="1"/>
  <c r="E31" i="2"/>
  <c r="S31" i="2" s="1"/>
  <c r="S29" i="2"/>
  <c r="S29" i="4"/>
  <c r="E31" i="4"/>
  <c r="S31" i="4" s="1"/>
  <c r="E30" i="4"/>
  <c r="S30" i="4" s="1"/>
  <c r="X30" i="5"/>
  <c r="W30" i="5"/>
  <c r="AB8" i="4"/>
  <c r="AA8" i="4"/>
  <c r="X21" i="5"/>
  <c r="M21" i="5"/>
  <c r="M22" i="5"/>
  <c r="AB20" i="5"/>
  <c r="AA20" i="5"/>
  <c r="Y29" i="6"/>
  <c r="K31" i="6"/>
  <c r="Z31" i="6" s="1"/>
  <c r="K30" i="6"/>
  <c r="G29" i="4"/>
  <c r="G21" i="4"/>
  <c r="G22" i="4"/>
  <c r="U20" i="4"/>
  <c r="V20" i="4"/>
  <c r="X22" i="3"/>
  <c r="J31" i="3"/>
  <c r="J30" i="3"/>
  <c r="X29" i="3"/>
  <c r="AA8" i="6"/>
  <c r="AB8" i="6"/>
  <c r="Z21" i="3"/>
  <c r="Y21" i="3"/>
  <c r="X21" i="3"/>
  <c r="W21" i="3"/>
  <c r="K31" i="4"/>
  <c r="Z31" i="4" s="1"/>
  <c r="K30" i="4"/>
  <c r="Y29" i="4"/>
  <c r="Z22" i="4"/>
  <c r="AA29" i="3"/>
  <c r="M31" i="3"/>
  <c r="M30" i="3"/>
  <c r="AB29" i="3"/>
  <c r="Y29" i="3"/>
  <c r="K31" i="3"/>
  <c r="Z31" i="3" s="1"/>
  <c r="K30" i="3"/>
  <c r="Z29" i="4"/>
  <c r="Y21" i="2"/>
  <c r="X21" i="2"/>
  <c r="AA9" i="4"/>
  <c r="AB9" i="4"/>
  <c r="Y22" i="5"/>
  <c r="X22" i="5"/>
  <c r="Y21" i="4"/>
  <c r="U9" i="5"/>
  <c r="V9" i="5"/>
  <c r="I31" i="2"/>
  <c r="I30" i="2"/>
  <c r="W29" i="2"/>
  <c r="Y22" i="3"/>
  <c r="T33" i="4" l="1"/>
  <c r="Y34" i="4"/>
  <c r="U33" i="5"/>
  <c r="W35" i="3"/>
  <c r="X33" i="4"/>
  <c r="Y35" i="3"/>
  <c r="Y33" i="6"/>
  <c r="W36" i="3"/>
  <c r="W34" i="3"/>
  <c r="T34" i="3"/>
  <c r="Y36" i="3"/>
  <c r="V35" i="5"/>
  <c r="X35" i="4"/>
  <c r="X35" i="6"/>
  <c r="X34" i="6"/>
  <c r="T33" i="6"/>
  <c r="S33" i="6"/>
  <c r="W34" i="6"/>
  <c r="O34" i="6"/>
  <c r="T35" i="6"/>
  <c r="O33" i="6"/>
  <c r="W33" i="6"/>
  <c r="X33" i="6"/>
  <c r="Z33" i="6"/>
  <c r="M34" i="6"/>
  <c r="M35" i="6"/>
  <c r="M33" i="6"/>
  <c r="W35" i="6"/>
  <c r="Y34" i="6"/>
  <c r="T34" i="6"/>
  <c r="G33" i="6"/>
  <c r="U33" i="6" s="1"/>
  <c r="G35" i="6"/>
  <c r="G34" i="6"/>
  <c r="U34" i="6" s="1"/>
  <c r="Y35" i="6"/>
  <c r="T36" i="3"/>
  <c r="W33" i="3"/>
  <c r="X33" i="3"/>
  <c r="O35" i="3"/>
  <c r="X35" i="3"/>
  <c r="O33" i="3"/>
  <c r="X34" i="3"/>
  <c r="Y34" i="3"/>
  <c r="O34" i="3"/>
  <c r="X36" i="3"/>
  <c r="AA36" i="3"/>
  <c r="AB36" i="3"/>
  <c r="AA33" i="3"/>
  <c r="AB33" i="3"/>
  <c r="AA35" i="3"/>
  <c r="AB35" i="3"/>
  <c r="G33" i="3"/>
  <c r="U33" i="3" s="1"/>
  <c r="G36" i="3"/>
  <c r="U36" i="3" s="1"/>
  <c r="G35" i="3"/>
  <c r="U35" i="3" s="1"/>
  <c r="G34" i="3"/>
  <c r="U34" i="3" s="1"/>
  <c r="AA34" i="3"/>
  <c r="AB34" i="3"/>
  <c r="Y33" i="3"/>
  <c r="O36" i="3"/>
  <c r="Z35" i="3"/>
  <c r="V37" i="5"/>
  <c r="AA34" i="5"/>
  <c r="AB34" i="5"/>
  <c r="V38" i="5"/>
  <c r="U38" i="5"/>
  <c r="AA33" i="5"/>
  <c r="AB33" i="5"/>
  <c r="V36" i="5"/>
  <c r="AA38" i="5"/>
  <c r="AB38" i="5"/>
  <c r="AA37" i="5"/>
  <c r="AB37" i="5"/>
  <c r="AA35" i="5"/>
  <c r="AB35" i="5"/>
  <c r="AB36" i="5"/>
  <c r="AA36" i="5"/>
  <c r="V34" i="5"/>
  <c r="Y36" i="4"/>
  <c r="T34" i="4"/>
  <c r="Y35" i="4"/>
  <c r="T36" i="4"/>
  <c r="Y33" i="4"/>
  <c r="T35" i="4"/>
  <c r="Z34" i="4"/>
  <c r="O36" i="4"/>
  <c r="W36" i="4"/>
  <c r="O33" i="4"/>
  <c r="W33" i="4"/>
  <c r="Z36" i="4"/>
  <c r="G33" i="4"/>
  <c r="U33" i="4" s="1"/>
  <c r="G35" i="4"/>
  <c r="V35" i="4" s="1"/>
  <c r="G36" i="4"/>
  <c r="U36" i="4" s="1"/>
  <c r="G34" i="4"/>
  <c r="U34" i="4" s="1"/>
  <c r="X36" i="4"/>
  <c r="O34" i="4"/>
  <c r="X34" i="4"/>
  <c r="W34" i="4"/>
  <c r="M36" i="4"/>
  <c r="M35" i="4"/>
  <c r="M33" i="4"/>
  <c r="M34" i="4"/>
  <c r="O35" i="4"/>
  <c r="W35" i="4"/>
  <c r="Z30" i="2"/>
  <c r="Z32" i="2"/>
  <c r="W30" i="4"/>
  <c r="W32" i="4"/>
  <c r="W31" i="4"/>
  <c r="V32" i="2"/>
  <c r="W32" i="6"/>
  <c r="W30" i="6"/>
  <c r="W30" i="3"/>
  <c r="W31" i="3"/>
  <c r="W31" i="6"/>
  <c r="W32" i="3"/>
  <c r="W32" i="2"/>
  <c r="W30" i="2"/>
  <c r="V30" i="2"/>
  <c r="W31" i="2"/>
  <c r="U32" i="5"/>
  <c r="X32" i="4"/>
  <c r="AA32" i="5"/>
  <c r="V32" i="5"/>
  <c r="AA32" i="3"/>
  <c r="Y32" i="4"/>
  <c r="Y32" i="3"/>
  <c r="X32" i="6"/>
  <c r="T32" i="6"/>
  <c r="Z32" i="3"/>
  <c r="X32" i="3"/>
  <c r="T32" i="4"/>
  <c r="U32" i="2"/>
  <c r="Y32" i="2"/>
  <c r="AA27" i="5"/>
  <c r="AB27" i="5"/>
  <c r="Y32" i="6"/>
  <c r="U23" i="3"/>
  <c r="V23" i="3"/>
  <c r="U26" i="5"/>
  <c r="V26" i="5"/>
  <c r="AA27" i="2"/>
  <c r="AB27" i="2"/>
  <c r="U25" i="4"/>
  <c r="V25" i="4"/>
  <c r="M32" i="2"/>
  <c r="AA32" i="2" s="1"/>
  <c r="AA24" i="6"/>
  <c r="AB24" i="6"/>
  <c r="AA25" i="4"/>
  <c r="AB25" i="4"/>
  <c r="AA26" i="2"/>
  <c r="AB26" i="2"/>
  <c r="U24" i="6"/>
  <c r="V24" i="6"/>
  <c r="U23" i="5"/>
  <c r="V23" i="5"/>
  <c r="AA27" i="4"/>
  <c r="AB27" i="4"/>
  <c r="U25" i="6"/>
  <c r="V25" i="6"/>
  <c r="U24" i="5"/>
  <c r="V24" i="5"/>
  <c r="AA23" i="4"/>
  <c r="AB23" i="4"/>
  <c r="U25" i="3"/>
  <c r="V25" i="3"/>
  <c r="G32" i="6"/>
  <c r="U32" i="6" s="1"/>
  <c r="U26" i="6"/>
  <c r="V26" i="6"/>
  <c r="AA25" i="6"/>
  <c r="AB25" i="6"/>
  <c r="AA23" i="2"/>
  <c r="AB23" i="2"/>
  <c r="AA24" i="4"/>
  <c r="AB24" i="4"/>
  <c r="AA25" i="2"/>
  <c r="AB25" i="2"/>
  <c r="U24" i="4"/>
  <c r="V24" i="4"/>
  <c r="AA23" i="6"/>
  <c r="AB23" i="6"/>
  <c r="AA26" i="4"/>
  <c r="AB26" i="4"/>
  <c r="G32" i="3"/>
  <c r="AA24" i="2"/>
  <c r="AB24" i="2"/>
  <c r="X32" i="2"/>
  <c r="U23" i="6"/>
  <c r="V23" i="6"/>
  <c r="AA24" i="5"/>
  <c r="AB24" i="5"/>
  <c r="U26" i="3"/>
  <c r="V26" i="3"/>
  <c r="U23" i="4"/>
  <c r="V23" i="4"/>
  <c r="U27" i="3"/>
  <c r="V27" i="3"/>
  <c r="U26" i="4"/>
  <c r="V26" i="4"/>
  <c r="AA26" i="6"/>
  <c r="AB26" i="6"/>
  <c r="AA25" i="5"/>
  <c r="AB25" i="5"/>
  <c r="U27" i="5"/>
  <c r="V27" i="5"/>
  <c r="G32" i="4"/>
  <c r="U32" i="4" s="1"/>
  <c r="M32" i="6"/>
  <c r="AA32" i="6" s="1"/>
  <c r="AA26" i="5"/>
  <c r="AB26" i="5"/>
  <c r="V25" i="5"/>
  <c r="U25" i="5"/>
  <c r="M32" i="4"/>
  <c r="AB32" i="4" s="1"/>
  <c r="U27" i="6"/>
  <c r="V27" i="6"/>
  <c r="AA27" i="6"/>
  <c r="AB27" i="6"/>
  <c r="AA23" i="5"/>
  <c r="AB23" i="5"/>
  <c r="U24" i="3"/>
  <c r="V24" i="3"/>
  <c r="U27" i="4"/>
  <c r="V27" i="4"/>
  <c r="T32" i="2"/>
  <c r="T32" i="3"/>
  <c r="Y30" i="6"/>
  <c r="X31" i="3"/>
  <c r="Y30" i="4"/>
  <c r="X30" i="3"/>
  <c r="T30" i="3"/>
  <c r="Y30" i="3"/>
  <c r="X31" i="2"/>
  <c r="Y31" i="6"/>
  <c r="X30" i="2"/>
  <c r="X31" i="4"/>
  <c r="X30" i="4"/>
  <c r="U31" i="2"/>
  <c r="U22" i="3"/>
  <c r="V22" i="3"/>
  <c r="U31" i="5"/>
  <c r="V31" i="5"/>
  <c r="T31" i="4"/>
  <c r="AA21" i="5"/>
  <c r="AB21" i="5"/>
  <c r="AA29" i="6"/>
  <c r="M31" i="6"/>
  <c r="M30" i="6"/>
  <c r="AB29" i="6"/>
  <c r="AA29" i="4"/>
  <c r="M31" i="4"/>
  <c r="M30" i="4"/>
  <c r="AB29" i="4"/>
  <c r="U30" i="2"/>
  <c r="Y31" i="3"/>
  <c r="AA30" i="3"/>
  <c r="AB30" i="3"/>
  <c r="Y31" i="4"/>
  <c r="AA22" i="4"/>
  <c r="AB22" i="4"/>
  <c r="X31" i="6"/>
  <c r="U29" i="6"/>
  <c r="G30" i="6"/>
  <c r="G31" i="6"/>
  <c r="V29" i="6"/>
  <c r="G31" i="3"/>
  <c r="G30" i="3"/>
  <c r="U29" i="3"/>
  <c r="V29" i="3"/>
  <c r="AB30" i="5"/>
  <c r="AA30" i="5"/>
  <c r="AB21" i="4"/>
  <c r="AA21" i="4"/>
  <c r="AA22" i="6"/>
  <c r="AB22" i="6"/>
  <c r="AA31" i="3"/>
  <c r="AB31" i="3"/>
  <c r="T31" i="2"/>
  <c r="U22" i="6"/>
  <c r="V22" i="6"/>
  <c r="U30" i="5"/>
  <c r="V30" i="5"/>
  <c r="V31" i="2"/>
  <c r="AA31" i="5"/>
  <c r="AB31" i="5"/>
  <c r="M30" i="2"/>
  <c r="M31" i="2"/>
  <c r="AA29" i="2"/>
  <c r="AB29" i="2"/>
  <c r="U21" i="5"/>
  <c r="V21" i="5"/>
  <c r="U22" i="4"/>
  <c r="V22" i="4"/>
  <c r="AA22" i="2"/>
  <c r="AB22" i="2"/>
  <c r="U21" i="3"/>
  <c r="V21" i="3"/>
  <c r="T30" i="6"/>
  <c r="U21" i="4"/>
  <c r="V21" i="4"/>
  <c r="U22" i="5"/>
  <c r="V22" i="5"/>
  <c r="Y31" i="2"/>
  <c r="AB21" i="2"/>
  <c r="AA21" i="2"/>
  <c r="X30" i="6"/>
  <c r="T31" i="6"/>
  <c r="S31" i="6"/>
  <c r="T31" i="3"/>
  <c r="V21" i="6"/>
  <c r="Z30" i="6"/>
  <c r="Z30" i="3"/>
  <c r="T30" i="4"/>
  <c r="G30" i="4"/>
  <c r="U29" i="4"/>
  <c r="G31" i="4"/>
  <c r="V29" i="4"/>
  <c r="Z30" i="4"/>
  <c r="AB22" i="5"/>
  <c r="AA22" i="5"/>
  <c r="Y30" i="2"/>
  <c r="T30" i="2"/>
  <c r="AB21" i="6"/>
  <c r="AA21" i="6"/>
  <c r="V34" i="4" l="1"/>
  <c r="V33" i="6"/>
  <c r="V33" i="3"/>
  <c r="AA33" i="6"/>
  <c r="AB33" i="6"/>
  <c r="V35" i="6"/>
  <c r="U35" i="6"/>
  <c r="AA35" i="6"/>
  <c r="AB35" i="6"/>
  <c r="AA34" i="6"/>
  <c r="AB34" i="6"/>
  <c r="V34" i="6"/>
  <c r="V35" i="3"/>
  <c r="V36" i="3"/>
  <c r="V34" i="3"/>
  <c r="U35" i="4"/>
  <c r="V33" i="4"/>
  <c r="AA35" i="4"/>
  <c r="AB35" i="4"/>
  <c r="AB36" i="4"/>
  <c r="AA36" i="4"/>
  <c r="V36" i="4"/>
  <c r="AA33" i="4"/>
  <c r="AB33" i="4"/>
  <c r="AA34" i="4"/>
  <c r="AB34" i="4"/>
  <c r="U32" i="3"/>
  <c r="V32" i="3"/>
  <c r="AB32" i="6"/>
  <c r="V32" i="4"/>
  <c r="V32" i="6"/>
  <c r="AB32" i="2"/>
  <c r="AA32" i="4"/>
  <c r="AB31" i="6"/>
  <c r="AA31" i="6"/>
  <c r="U31" i="6"/>
  <c r="V31" i="6"/>
  <c r="U31" i="4"/>
  <c r="V31" i="4"/>
  <c r="AA30" i="6"/>
  <c r="AB30" i="6"/>
  <c r="U30" i="4"/>
  <c r="V30" i="4"/>
  <c r="AA30" i="2"/>
  <c r="AB30" i="2"/>
  <c r="AA30" i="4"/>
  <c r="AB30" i="4"/>
  <c r="U30" i="3"/>
  <c r="V30" i="3"/>
  <c r="U30" i="6"/>
  <c r="V30" i="6"/>
  <c r="AA31" i="4"/>
  <c r="AB31" i="4"/>
  <c r="AB31" i="2"/>
  <c r="AA31" i="2"/>
  <c r="V31" i="3"/>
  <c r="U31" i="3"/>
</calcChain>
</file>

<file path=xl/sharedStrings.xml><?xml version="1.0" encoding="utf-8"?>
<sst xmlns="http://schemas.openxmlformats.org/spreadsheetml/2006/main" count="535" uniqueCount="72">
  <si>
    <t>Market Share (%)</t>
  </si>
  <si>
    <t>By Country</t>
  </si>
  <si>
    <t xml:space="preserve"> </t>
  </si>
  <si>
    <t>Market Value (US$ Million)</t>
  </si>
  <si>
    <t>Market Y-o-Y Growth (%)</t>
  </si>
  <si>
    <t>CAGR (2023-2030) %</t>
  </si>
  <si>
    <t>Malaysia</t>
  </si>
  <si>
    <t>Singapore</t>
  </si>
  <si>
    <t>Others</t>
  </si>
  <si>
    <t>By  Type</t>
  </si>
  <si>
    <t>Flexible Electronics</t>
  </si>
  <si>
    <t>Flexible Displays</t>
  </si>
  <si>
    <t>Flexible Batteries</t>
  </si>
  <si>
    <t>Flexible Memory</t>
  </si>
  <si>
    <t xml:space="preserve">Flexible Sensors </t>
  </si>
  <si>
    <t>Flexible Circuit</t>
  </si>
  <si>
    <t>Single Sided Flex Circuit</t>
  </si>
  <si>
    <t>Double Sided Flex Circuit</t>
  </si>
  <si>
    <t>Multilayer Flex Circuit</t>
  </si>
  <si>
    <t>Rigid Flex Circuit</t>
  </si>
  <si>
    <t>By Vertical</t>
  </si>
  <si>
    <t>Automotive</t>
  </si>
  <si>
    <t>Military, Defense and Aerospace</t>
  </si>
  <si>
    <t>Consumer Electronics</t>
  </si>
  <si>
    <t>Industrial</t>
  </si>
  <si>
    <t>Healthcare and Medical</t>
  </si>
  <si>
    <t>Energy and Power</t>
  </si>
  <si>
    <t>North America</t>
  </si>
  <si>
    <t>Europe</t>
  </si>
  <si>
    <t>Asia-Pacific</t>
  </si>
  <si>
    <t>Latin America</t>
  </si>
  <si>
    <t>Middle East &amp; Africa</t>
  </si>
  <si>
    <t>Global Flexible Electronics and Circuit Market</t>
  </si>
  <si>
    <t>By Region</t>
  </si>
  <si>
    <t>North America Flexible Electronics and Circuit Market</t>
  </si>
  <si>
    <t>Europe Flexible Electronics and Circuit Market</t>
  </si>
  <si>
    <t>Asia-Pacific Flexible Electronics and Circuit Market</t>
  </si>
  <si>
    <t>Latin America Flexible Electronics and Circuit Market</t>
  </si>
  <si>
    <t>Middle East &amp; Africa Flexible Electronics and Circuit Market</t>
  </si>
  <si>
    <t>The U.S.</t>
  </si>
  <si>
    <t>Canada</t>
  </si>
  <si>
    <t>Mexico</t>
  </si>
  <si>
    <t>Germany</t>
  </si>
  <si>
    <t>France</t>
  </si>
  <si>
    <t>UK</t>
  </si>
  <si>
    <t>Russia</t>
  </si>
  <si>
    <t>Italy</t>
  </si>
  <si>
    <t>Spain</t>
  </si>
  <si>
    <t>Rest of Europe</t>
  </si>
  <si>
    <t>China</t>
  </si>
  <si>
    <t>India</t>
  </si>
  <si>
    <t>Japan</t>
  </si>
  <si>
    <t>Australia</t>
  </si>
  <si>
    <t>New Zealand</t>
  </si>
  <si>
    <t>South Korea</t>
  </si>
  <si>
    <t xml:space="preserve">Rest of Asia Pacific </t>
  </si>
  <si>
    <t>Brazil</t>
  </si>
  <si>
    <t>Argentina</t>
  </si>
  <si>
    <t>Colombia</t>
  </si>
  <si>
    <t>Peru</t>
  </si>
  <si>
    <t>Chile</t>
  </si>
  <si>
    <t>Venezuela</t>
  </si>
  <si>
    <t>Rest of Latin America</t>
  </si>
  <si>
    <t>Saudi Arabia</t>
  </si>
  <si>
    <t>UAE</t>
  </si>
  <si>
    <t>Egypt</t>
  </si>
  <si>
    <t>Kuwait</t>
  </si>
  <si>
    <t>South Africa</t>
  </si>
  <si>
    <t>Rest of Middle East &amp; Africa</t>
  </si>
  <si>
    <t>CAGR (2024-2030) %</t>
  </si>
  <si>
    <t>By Type</t>
  </si>
  <si>
    <t>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</si>
</sst>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.0_);_(* \(#,##0.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1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81">
    <xf numFmtId="0" fontId="0" fillId="0" borderId="0" xfId="0"/>
    <xf numFmtId="0" fontId="3" fillId="4" borderId="0" xfId="0" applyFont="1" applyFill="1"/>
    <xf numFmtId="0" fontId="3" fillId="0" borderId="0" xfId="0" applyFont="1" applyAlignment="1">
      <alignment vertical="top"/>
    </xf>
    <xf numFmtId="43" fontId="3" fillId="0" borderId="1" xfId="1" applyFont="1" applyFill="1" applyBorder="1" applyAlignment="1">
      <alignment horizontal="right"/>
    </xf>
    <xf numFmtId="1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top"/>
    </xf>
    <xf numFmtId="10" fontId="3" fillId="0" borderId="0" xfId="3" applyNumberFormat="1" applyFont="1" applyFill="1"/>
    <xf numFmtId="10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5" borderId="0" xfId="0" applyFont="1" applyFill="1"/>
    <xf numFmtId="4" fontId="3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3" fillId="6" borderId="0" xfId="0" applyFont="1" applyFill="1"/>
    <xf numFmtId="43" fontId="3" fillId="6" borderId="0" xfId="1" applyFont="1" applyFill="1"/>
    <xf numFmtId="10" fontId="3" fillId="5" borderId="0" xfId="3" applyNumberFormat="1" applyFont="1" applyFill="1"/>
    <xf numFmtId="9" fontId="3" fillId="6" borderId="0" xfId="1" applyNumberFormat="1" applyFont="1" applyFill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43" fontId="3" fillId="0" borderId="0" xfId="1" applyFont="1"/>
    <xf numFmtId="10" fontId="3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wrapText="1"/>
    </xf>
    <xf numFmtId="10" fontId="3" fillId="0" borderId="0" xfId="1" applyNumberFormat="1" applyFont="1" applyFill="1" applyAlignment="1">
      <alignment horizontal="center" vertical="center"/>
    </xf>
    <xf numFmtId="43" fontId="3" fillId="6" borderId="0" xfId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3" fillId="0" borderId="0" xfId="1" applyFont="1" applyFill="1" applyBorder="1" applyAlignment="1">
      <alignment horizontal="center"/>
    </xf>
    <xf numFmtId="43" fontId="3" fillId="8" borderId="2" xfId="1" applyFont="1" applyFill="1" applyBorder="1" applyAlignment="1">
      <alignment horizontal="center"/>
    </xf>
    <xf numFmtId="10" fontId="3" fillId="0" borderId="0" xfId="3" applyNumberFormat="1" applyFont="1" applyAlignment="1">
      <alignment horizontal="center"/>
    </xf>
    <xf numFmtId="0" fontId="3" fillId="0" borderId="0" xfId="0" applyFont="1" applyAlignment="1">
      <alignment horizontal="center" vertical="top"/>
    </xf>
    <xf numFmtId="43" fontId="3" fillId="6" borderId="0" xfId="1" applyFont="1" applyFill="1" applyAlignment="1"/>
    <xf numFmtId="0" fontId="4" fillId="0" borderId="0" xfId="0" applyFont="1" applyAlignment="1">
      <alignment horizontal="center"/>
    </xf>
    <xf numFmtId="43" fontId="4" fillId="0" borderId="1" xfId="1" applyFont="1" applyFill="1" applyBorder="1" applyAlignment="1">
      <alignment horizontal="center"/>
    </xf>
    <xf numFmtId="0" fontId="3" fillId="0" borderId="0" xfId="3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10" fontId="3" fillId="0" borderId="0" xfId="1" applyNumberFormat="1" applyFont="1"/>
    <xf numFmtId="43" fontId="3" fillId="8" borderId="0" xfId="1" applyFont="1" applyFill="1" applyBorder="1" applyAlignment="1">
      <alignment horizontal="center"/>
    </xf>
    <xf numFmtId="43" fontId="3" fillId="0" borderId="0" xfId="1" applyFont="1" applyAlignment="1">
      <alignment horizontal="center"/>
    </xf>
    <xf numFmtId="43" fontId="3" fillId="0" borderId="0" xfId="0" applyNumberFormat="1" applyFont="1" applyAlignment="1">
      <alignment horizontal="center"/>
    </xf>
    <xf numFmtId="43" fontId="3" fillId="0" borderId="0" xfId="1" applyFont="1" applyFill="1" applyAlignment="1">
      <alignment vertical="center"/>
    </xf>
    <xf numFmtId="0" fontId="3" fillId="0" borderId="0" xfId="0" applyFont="1" applyAlignment="1">
      <alignment horizontal="left" vertical="top" wrapText="1"/>
    </xf>
    <xf numFmtId="3" fontId="3" fillId="0" borderId="0" xfId="0" applyNumberFormat="1" applyFont="1" applyAlignment="1">
      <alignment horizontal="left" wrapText="1"/>
    </xf>
    <xf numFmtId="165" fontId="3" fillId="0" borderId="0" xfId="1" applyNumberFormat="1" applyFont="1" applyFill="1" applyAlignment="1">
      <alignment horizontal="center" vertical="center"/>
    </xf>
    <xf numFmtId="43" fontId="3" fillId="6" borderId="0" xfId="1" applyFont="1" applyFill="1" applyAlignment="1">
      <alignment horizontal="left"/>
    </xf>
    <xf numFmtId="0" fontId="3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left" vertical="center"/>
    </xf>
    <xf numFmtId="43" fontId="3" fillId="0" borderId="0" xfId="1" applyFont="1" applyFill="1" applyAlignment="1">
      <alignment horizontal="left" vertical="center"/>
    </xf>
    <xf numFmtId="43" fontId="3" fillId="0" borderId="1" xfId="1" applyFont="1" applyFill="1" applyBorder="1" applyAlignment="1">
      <alignment horizontal="left"/>
    </xf>
    <xf numFmtId="43" fontId="3" fillId="0" borderId="0" xfId="1" applyFont="1" applyAlignment="1">
      <alignment horizontal="left"/>
    </xf>
    <xf numFmtId="10" fontId="3" fillId="0" borderId="0" xfId="3" applyNumberFormat="1" applyFont="1" applyFill="1" applyAlignment="1">
      <alignment horizontal="left"/>
    </xf>
    <xf numFmtId="43" fontId="3" fillId="0" borderId="0" xfId="1" applyFont="1" applyFill="1" applyBorder="1" applyAlignment="1">
      <alignment horizontal="left"/>
    </xf>
    <xf numFmtId="43" fontId="3" fillId="0" borderId="0" xfId="1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3" fontId="3" fillId="0" borderId="0" xfId="0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/>
    </xf>
    <xf numFmtId="0" fontId="6" fillId="0" borderId="0" xfId="2" applyFont="1" applyAlignment="1">
      <alignment horizontal="center"/>
    </xf>
    <xf numFmtId="164" fontId="3" fillId="0" borderId="0" xfId="0" applyNumberFormat="1" applyFont="1" applyAlignment="1">
      <alignment horizontal="center"/>
    </xf>
    <xf numFmtId="10" fontId="3" fillId="0" borderId="0" xfId="0" applyNumberFormat="1" applyFont="1"/>
    <xf numFmtId="0" fontId="5" fillId="0" borderId="0" xfId="0" applyFont="1"/>
    <xf numFmtId="0" fontId="6" fillId="0" borderId="0" xfId="2" applyFont="1"/>
    <xf numFmtId="164" fontId="3" fillId="0" borderId="0" xfId="0" applyNumberFormat="1" applyFont="1"/>
    <xf numFmtId="0" fontId="4" fillId="0" borderId="0" xfId="3" applyNumberFormat="1" applyFont="1" applyAlignment="1">
      <alignment horizontal="center"/>
    </xf>
    <xf numFmtId="0" fontId="4" fillId="0" borderId="0" xfId="3" applyNumberFormat="1" applyFont="1" applyAlignment="1">
      <alignment horizontal="center" vertical="center"/>
    </xf>
    <xf numFmtId="10" fontId="3" fillId="0" borderId="0" xfId="0" applyNumberFormat="1" applyFont="1" applyAlignment="1">
      <alignment wrapText="1"/>
    </xf>
    <xf numFmtId="43" fontId="3" fillId="0" borderId="0" xfId="1" applyFont="1" applyFill="1"/>
    <xf numFmtId="0" fontId="6" fillId="8" borderId="0" xfId="2" applyFont="1" applyFill="1"/>
    <xf numFmtId="0" fontId="3" fillId="0" borderId="0" xfId="2" applyFont="1"/>
    <xf numFmtId="164" fontId="8" fillId="0" borderId="0" xfId="0" applyNumberFormat="1" applyFont="1" applyAlignment="1">
      <alignment horizontal="center" vertical="center"/>
    </xf>
    <xf numFmtId="10" fontId="7" fillId="0" borderId="0" xfId="3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9" fillId="0" borderId="0" xfId="0" applyFont="1"/>
    <xf numFmtId="43" fontId="9" fillId="0" borderId="0" xfId="1" applyFont="1" applyFill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43" fontId="9" fillId="0" borderId="1" xfId="1" applyFont="1" applyFill="1" applyBorder="1" applyAlignment="1">
      <alignment horizontal="center"/>
    </xf>
    <xf numFmtId="10" fontId="9" fillId="0" borderId="0" xfId="3" applyNumberFormat="1" applyFont="1" applyAlignment="1">
      <alignment horizontal="center"/>
    </xf>
    <xf numFmtId="0" fontId="9" fillId="0" borderId="0" xfId="0" applyFont="1" applyAlignment="1">
      <alignment wrapText="1"/>
    </xf>
    <xf numFmtId="10" fontId="9" fillId="0" borderId="0" xfId="3" applyNumberFormat="1" applyFont="1" applyFill="1" applyAlignment="1">
      <alignment horizontal="center"/>
    </xf>
    <xf numFmtId="10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43" fontId="9" fillId="0" borderId="0" xfId="1" applyFont="1" applyFill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43" fontId="9" fillId="0" borderId="1" xfId="1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43" fontId="11" fillId="0" borderId="0" xfId="1" applyFont="1" applyFill="1" applyAlignment="1">
      <alignment horizontal="center" vertical="center"/>
    </xf>
    <xf numFmtId="43" fontId="3" fillId="0" borderId="0" xfId="1" applyFont="1" applyFill="1" applyBorder="1"/>
    <xf numFmtId="10" fontId="3" fillId="0" borderId="0" xfId="3" applyNumberFormat="1" applyFont="1" applyFill="1" applyBorder="1" applyAlignment="1">
      <alignment horizontal="center"/>
    </xf>
    <xf numFmtId="0" fontId="3" fillId="0" borderId="0" xfId="0" applyFont="1" applyAlignment="1">
      <alignment horizontal="right" wrapText="1"/>
    </xf>
    <xf numFmtId="0" fontId="3" fillId="0" borderId="0" xfId="3" applyNumberFormat="1" applyFont="1" applyFill="1" applyBorder="1" applyAlignment="1">
      <alignment horizontal="center"/>
    </xf>
    <xf numFmtId="164" fontId="10" fillId="0" borderId="0" xfId="0" applyNumberFormat="1" applyFont="1" applyAlignment="1">
      <alignment horizontal="right" vertical="center"/>
    </xf>
    <xf numFmtId="10" fontId="7" fillId="5" borderId="0" xfId="3" applyNumberFormat="1" applyFont="1" applyFill="1"/>
    <xf numFmtId="0" fontId="7" fillId="0" borderId="0" xfId="0" applyFont="1" applyAlignment="1">
      <alignment horizontal="left" vertical="top"/>
    </xf>
    <xf numFmtId="43" fontId="7" fillId="0" borderId="0" xfId="1" applyFont="1" applyFill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43" fontId="7" fillId="0" borderId="1" xfId="1" applyFont="1" applyFill="1" applyBorder="1" applyAlignment="1">
      <alignment horizontal="left"/>
    </xf>
    <xf numFmtId="10" fontId="7" fillId="0" borderId="0" xfId="3" applyNumberFormat="1" applyFont="1" applyAlignment="1">
      <alignment horizontal="left"/>
    </xf>
    <xf numFmtId="43" fontId="12" fillId="0" borderId="0" xfId="1" applyFont="1" applyFill="1" applyAlignment="1">
      <alignment horizontal="center" vertical="center"/>
    </xf>
    <xf numFmtId="10" fontId="9" fillId="5" borderId="0" xfId="3" applyNumberFormat="1" applyFont="1" applyFill="1"/>
    <xf numFmtId="0" fontId="3" fillId="0" borderId="0" xfId="0" applyFont="1" applyAlignment="1">
      <alignment horizontal="right"/>
    </xf>
    <xf numFmtId="0" fontId="3" fillId="5" borderId="0" xfId="0" applyFont="1" applyFill="1" applyAlignment="1">
      <alignment horizontal="right"/>
    </xf>
    <xf numFmtId="10" fontId="3" fillId="5" borderId="0" xfId="3" applyNumberFormat="1" applyFont="1" applyFill="1" applyAlignment="1">
      <alignment horizontal="right"/>
    </xf>
    <xf numFmtId="10" fontId="3" fillId="0" borderId="0" xfId="3" applyNumberFormat="1" applyFont="1" applyFill="1" applyAlignment="1">
      <alignment horizontal="right"/>
    </xf>
    <xf numFmtId="43" fontId="3" fillId="0" borderId="0" xfId="1" applyFont="1" applyFill="1" applyAlignment="1">
      <alignment horizontal="right" vertical="center"/>
    </xf>
    <xf numFmtId="164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 vertical="center"/>
    </xf>
    <xf numFmtId="10" fontId="3" fillId="0" borderId="0" xfId="3" applyNumberFormat="1" applyFont="1" applyAlignment="1">
      <alignment horizontal="left"/>
    </xf>
    <xf numFmtId="0" fontId="3" fillId="6" borderId="0" xfId="0" applyFont="1" applyFill="1" applyAlignment="1">
      <alignment horizontal="left"/>
    </xf>
    <xf numFmtId="0" fontId="7" fillId="0" borderId="0" xfId="0" applyFont="1"/>
    <xf numFmtId="10" fontId="11" fillId="5" borderId="0" xfId="3" applyNumberFormat="1" applyFont="1" applyFill="1"/>
    <xf numFmtId="16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wrapText="1"/>
    </xf>
    <xf numFmtId="0" fontId="11" fillId="0" borderId="0" xfId="0" applyFont="1"/>
    <xf numFmtId="0" fontId="11" fillId="0" borderId="0" xfId="0" applyFont="1" applyAlignment="1">
      <alignment vertical="top"/>
    </xf>
    <xf numFmtId="43" fontId="11" fillId="0" borderId="1" xfId="1" applyFont="1" applyFill="1" applyBorder="1" applyAlignment="1">
      <alignment horizontal="center"/>
    </xf>
    <xf numFmtId="10" fontId="11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left" vertical="top"/>
    </xf>
    <xf numFmtId="0" fontId="9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4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top"/>
    </xf>
    <xf numFmtId="43" fontId="7" fillId="0" borderId="0" xfId="1" applyFont="1" applyFill="1" applyAlignment="1">
      <alignment horizontal="center" vertical="center"/>
    </xf>
    <xf numFmtId="10" fontId="7" fillId="5" borderId="0" xfId="3" applyNumberFormat="1" applyFont="1" applyFill="1" applyAlignment="1">
      <alignment horizontal="right"/>
    </xf>
    <xf numFmtId="164" fontId="7" fillId="0" borderId="0" xfId="0" applyNumberFormat="1" applyFont="1" applyAlignment="1">
      <alignment horizontal="center" vertical="center"/>
    </xf>
    <xf numFmtId="43" fontId="7" fillId="0" borderId="1" xfId="1" applyFont="1" applyFill="1" applyBorder="1" applyAlignment="1">
      <alignment horizontal="center"/>
    </xf>
    <xf numFmtId="0" fontId="7" fillId="0" borderId="0" xfId="3" applyNumberFormat="1" applyFont="1" applyFill="1" applyBorder="1" applyAlignment="1">
      <alignment horizontal="center"/>
    </xf>
    <xf numFmtId="164" fontId="8" fillId="0" borderId="0" xfId="0" applyNumberFormat="1" applyFont="1" applyAlignment="1">
      <alignment horizontal="right" vertical="center"/>
    </xf>
    <xf numFmtId="0" fontId="7" fillId="0" borderId="0" xfId="0" applyFont="1" applyAlignment="1">
      <alignment wrapText="1"/>
    </xf>
    <xf numFmtId="43" fontId="7" fillId="0" borderId="0" xfId="1" applyFont="1" applyFill="1"/>
    <xf numFmtId="43" fontId="7" fillId="0" borderId="0" xfId="1" applyFont="1" applyFill="1" applyAlignment="1">
      <alignment vertical="center"/>
    </xf>
    <xf numFmtId="43" fontId="7" fillId="8" borderId="2" xfId="1" applyFont="1" applyFill="1" applyBorder="1" applyAlignment="1">
      <alignment horizontal="center"/>
    </xf>
    <xf numFmtId="10" fontId="7" fillId="0" borderId="0" xfId="1" applyNumberFormat="1" applyFont="1"/>
    <xf numFmtId="0" fontId="7" fillId="0" borderId="0" xfId="0" applyFont="1" applyAlignment="1">
      <alignment horizontal="center" vertical="top" wrapText="1"/>
    </xf>
    <xf numFmtId="10" fontId="7" fillId="0" borderId="0" xfId="0" applyNumberFormat="1" applyFont="1" applyAlignment="1">
      <alignment horizontal="left" wrapText="1"/>
    </xf>
    <xf numFmtId="0" fontId="7" fillId="0" borderId="0" xfId="0" applyFont="1" applyAlignment="1">
      <alignment horizontal="left" wrapText="1"/>
    </xf>
    <xf numFmtId="43" fontId="7" fillId="0" borderId="0" xfId="1" applyFont="1" applyFill="1" applyBorder="1" applyAlignment="1">
      <alignment horizontal="center"/>
    </xf>
    <xf numFmtId="10" fontId="14" fillId="0" borderId="0" xfId="0" applyNumberFormat="1" applyFont="1" applyAlignment="1">
      <alignment horizontal="center"/>
    </xf>
    <xf numFmtId="0" fontId="13" fillId="0" borderId="0" xfId="0" applyFont="1" applyAlignment="1">
      <alignment horizontal="left" vertical="top"/>
    </xf>
    <xf numFmtId="43" fontId="13" fillId="0" borderId="0" xfId="1" applyFont="1" applyFill="1" applyAlignment="1">
      <alignment horizontal="center" vertical="center"/>
    </xf>
    <xf numFmtId="10" fontId="13" fillId="5" borderId="0" xfId="3" applyNumberFormat="1" applyFont="1" applyFill="1"/>
    <xf numFmtId="164" fontId="13" fillId="0" borderId="0" xfId="0" applyNumberFormat="1" applyFont="1" applyAlignment="1">
      <alignment horizontal="center" vertical="center"/>
    </xf>
    <xf numFmtId="43" fontId="13" fillId="0" borderId="1" xfId="1" applyFont="1" applyFill="1" applyBorder="1" applyAlignment="1">
      <alignment horizontal="center"/>
    </xf>
    <xf numFmtId="0" fontId="13" fillId="0" borderId="0" xfId="0" applyFont="1" applyAlignment="1">
      <alignment wrapText="1"/>
    </xf>
    <xf numFmtId="10" fontId="13" fillId="0" borderId="0" xfId="0" applyNumberFormat="1" applyFont="1" applyAlignment="1">
      <alignment horizontal="center" wrapText="1"/>
    </xf>
    <xf numFmtId="0" fontId="13" fillId="0" borderId="0" xfId="0" applyFont="1"/>
    <xf numFmtId="10" fontId="7" fillId="0" borderId="0" xfId="0" applyNumberFormat="1" applyFont="1" applyAlignment="1">
      <alignment horizontal="center" wrapText="1"/>
    </xf>
    <xf numFmtId="10" fontId="7" fillId="0" borderId="0" xfId="1" applyNumberFormat="1" applyFont="1" applyFill="1" applyAlignment="1">
      <alignment horizontal="center" vertical="center"/>
    </xf>
    <xf numFmtId="10" fontId="14" fillId="0" borderId="0" xfId="1" applyNumberFormat="1" applyFont="1" applyFill="1" applyAlignment="1">
      <alignment horizontal="center" vertical="center"/>
    </xf>
    <xf numFmtId="10" fontId="14" fillId="0" borderId="0" xfId="3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  <xf numFmtId="10" fontId="12" fillId="0" borderId="0" xfId="3" applyNumberFormat="1" applyFont="1" applyAlignment="1">
      <alignment horizontal="center"/>
    </xf>
    <xf numFmtId="0" fontId="12" fillId="0" borderId="0" xfId="0" applyFont="1"/>
    <xf numFmtId="10" fontId="12" fillId="5" borderId="0" xfId="3" applyNumberFormat="1" applyFont="1" applyFill="1"/>
    <xf numFmtId="164" fontId="12" fillId="0" borderId="0" xfId="0" applyNumberFormat="1" applyFont="1" applyAlignment="1">
      <alignment horizontal="center" vertical="center"/>
    </xf>
    <xf numFmtId="43" fontId="12" fillId="0" borderId="1" xfId="1" applyFont="1" applyFill="1" applyBorder="1" applyAlignment="1">
      <alignment horizontal="center"/>
    </xf>
    <xf numFmtId="10" fontId="12" fillId="0" borderId="0" xfId="0" applyNumberFormat="1" applyFont="1" applyAlignment="1">
      <alignment horizont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/>
    </xf>
    <xf numFmtId="10" fontId="12" fillId="5" borderId="0" xfId="3" applyNumberFormat="1" applyFont="1" applyFill="1" applyAlignment="1">
      <alignment horizontal="right"/>
    </xf>
    <xf numFmtId="164" fontId="15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43" fontId="9" fillId="0" borderId="0" xfId="1" applyFont="1" applyFill="1" applyBorder="1" applyAlignment="1">
      <alignment horizontal="center"/>
    </xf>
    <xf numFmtId="10" fontId="9" fillId="5" borderId="0" xfId="3" applyNumberFormat="1" applyFont="1" applyFill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3" applyNumberFormat="1" applyFont="1" applyFill="1" applyBorder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3" applyNumberFormat="1" applyFont="1" applyFill="1" applyBorder="1" applyAlignment="1">
      <alignment horizontal="center"/>
    </xf>
    <xf numFmtId="10" fontId="3" fillId="0" borderId="0" xfId="0" applyNumberFormat="1" applyFont="1" applyAlignment="1">
      <alignment horizontal="left" vertical="top"/>
    </xf>
    <xf numFmtId="0" fontId="3" fillId="7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</cellXfs>
  <cellStyles count="4">
    <cellStyle name="Comma" xfId="1" builtinId="3"/>
    <cellStyle name="Hyperlink" xfId="2" builtinId="8"/>
    <cellStyle name="Normal" xfId="0" builtinId="0"/>
    <cellStyle name="Per cent" xfId="3" builtinId="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780743066457351E-2"/>
          <c:y val="6.2620423892100194E-2"/>
          <c:w val="0.94243851386708533"/>
          <c:h val="0.6691619260864298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Global!$AG$43</c:f>
              <c:strCache>
                <c:ptCount val="1"/>
                <c:pt idx="0">
                  <c:v>Flexible 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Global!$AH$42:$AI$42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Global!$AH$43:$AI$43</c:f>
              <c:numCache>
                <c:formatCode>0.00%</c:formatCode>
                <c:ptCount val="2"/>
                <c:pt idx="0">
                  <c:v>0.54927272727272736</c:v>
                </c:pt>
                <c:pt idx="1">
                  <c:v>0.54800000000000004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D-4F90-9D2B-46AC94E86352}"/>
            </c:ext>
          </c:extLst>
        </c:ser>
        <c:ser>
          <c:idx val="1"/>
          <c:order val="1"/>
          <c:tx>
            <c:strRef>
              <c:f>Global!$AG$44</c:f>
              <c:strCache>
                <c:ptCount val="1"/>
                <c:pt idx="0">
                  <c:v>Flexible Circuit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Global!$AH$42:$AI$42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Global!$AH$44:$AI$44</c:f>
              <c:numCache>
                <c:formatCode>0.00%</c:formatCode>
                <c:ptCount val="2"/>
                <c:pt idx="0">
                  <c:v>0.45072727272727275</c:v>
                </c:pt>
                <c:pt idx="1">
                  <c:v>0.45200000000000001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6D-4F90-9D2B-46AC94E863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8312240"/>
        <c:axId val="158312632"/>
      </c:barChart>
      <c:catAx>
        <c:axId val="1583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12632"/>
        <c:crosses val="autoZero"/>
        <c:auto val="1"/>
        <c:lblAlgn val="ctr"/>
        <c:lblOffset val="100"/>
        <c:noMultiLvlLbl val="0"/>
      </c:catAx>
      <c:valAx>
        <c:axId val="1583126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831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991512814837023E-2"/>
          <c:y val="0.88769860415814872"/>
          <c:w val="0.91674840608141261"/>
          <c:h val="0.11219566545567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315191497159612E-2"/>
          <c:y val="5.5366794112016893E-2"/>
          <c:w val="0.91936961700568076"/>
          <c:h val="0.6201178794476002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Global!$AG$56</c:f>
              <c:strCache>
                <c:ptCount val="1"/>
                <c:pt idx="0">
                  <c:v>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Global!$AH$55:$AI$55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Global!$AH$56:$AI$56</c:f>
              <c:numCache>
                <c:formatCode>0.00%</c:formatCode>
                <c:ptCount val="2"/>
                <c:pt idx="0">
                  <c:v>0.16668181818181818</c:v>
                </c:pt>
                <c:pt idx="1">
                  <c:v>0.16700000000000001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F-4336-8A28-29008576DE82}"/>
            </c:ext>
          </c:extLst>
        </c:ser>
        <c:ser>
          <c:idx val="1"/>
          <c:order val="1"/>
          <c:tx>
            <c:strRef>
              <c:f>Global!$AG$57</c:f>
              <c:strCache>
                <c:ptCount val="1"/>
                <c:pt idx="0">
                  <c:v>Military, Defense and Aerospace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Global!$AH$55:$AI$55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Global!$AH$57:$AI$57</c:f>
              <c:numCache>
                <c:formatCode>0.00%</c:formatCode>
                <c:ptCount val="2"/>
                <c:pt idx="0">
                  <c:v>0.12580000000000002</c:v>
                </c:pt>
                <c:pt idx="1">
                  <c:v>0.1265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F-4336-8A28-29008576DE82}"/>
            </c:ext>
          </c:extLst>
        </c:ser>
        <c:ser>
          <c:idx val="2"/>
          <c:order val="2"/>
          <c:tx>
            <c:strRef>
              <c:f>Global!$AG$58</c:f>
              <c:strCache>
                <c:ptCount val="1"/>
                <c:pt idx="0">
                  <c:v>Consumer 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Global!$AH$55:$AI$55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Global!$AH$58:$AI$58</c:f>
              <c:numCache>
                <c:formatCode>0.00%</c:formatCode>
                <c:ptCount val="2"/>
                <c:pt idx="0">
                  <c:v>0.2428454545454545</c:v>
                </c:pt>
                <c:pt idx="1">
                  <c:v>0.24169999999999997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8-4282-BFAF-902DA83A18F7}"/>
            </c:ext>
          </c:extLst>
        </c:ser>
        <c:ser>
          <c:idx val="3"/>
          <c:order val="3"/>
          <c:tx>
            <c:strRef>
              <c:f>Global!$AG$59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Global!$AH$55:$AI$55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Global!$AH$59:$AI$59</c:f>
              <c:numCache>
                <c:formatCode>0.00%</c:formatCode>
                <c:ptCount val="2"/>
                <c:pt idx="0">
                  <c:v>0.11531818181818182</c:v>
                </c:pt>
                <c:pt idx="1">
                  <c:v>0.11570000000000001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8-4282-BFAF-902DA83A18F7}"/>
            </c:ext>
          </c:extLst>
        </c:ser>
        <c:ser>
          <c:idx val="4"/>
          <c:order val="4"/>
          <c:tx>
            <c:strRef>
              <c:f>Global!$AG$60</c:f>
              <c:strCache>
                <c:ptCount val="1"/>
                <c:pt idx="0">
                  <c:v>Healthcare and Medical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Global!$AH$55:$AI$55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Global!$AH$60:$AI$60</c:f>
              <c:numCache>
                <c:formatCode>0.00%</c:formatCode>
                <c:ptCount val="2"/>
                <c:pt idx="0">
                  <c:v>0.18039999999999998</c:v>
                </c:pt>
                <c:pt idx="1">
                  <c:v>0.17899999999999996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58-4282-BFAF-902DA83A18F7}"/>
            </c:ext>
          </c:extLst>
        </c:ser>
        <c:ser>
          <c:idx val="5"/>
          <c:order val="5"/>
          <c:tx>
            <c:strRef>
              <c:f>Global!$AG$61</c:f>
              <c:strCache>
                <c:ptCount val="1"/>
                <c:pt idx="0">
                  <c:v>Energy and Power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Global!$AH$55:$AI$55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Global!$AH$61:$AI$61</c:f>
              <c:numCache>
                <c:formatCode>0.00%</c:formatCode>
                <c:ptCount val="2"/>
                <c:pt idx="0">
                  <c:v>8.8718181818181807E-2</c:v>
                </c:pt>
                <c:pt idx="1">
                  <c:v>8.9099999999999999E-2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58-4282-BFAF-902DA83A18F7}"/>
            </c:ext>
          </c:extLst>
        </c:ser>
        <c:ser>
          <c:idx val="6"/>
          <c:order val="6"/>
          <c:tx>
            <c:strRef>
              <c:f>Global!$AG$62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Global!$AH$55:$AI$55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Global!$AH$62:$AI$62</c:f>
              <c:numCache>
                <c:formatCode>0.00%</c:formatCode>
                <c:ptCount val="2"/>
                <c:pt idx="0">
                  <c:v>8.0236363636363633E-2</c:v>
                </c:pt>
                <c:pt idx="1">
                  <c:v>8.1000000000000003E-2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D-43FB-913D-8A060CEC8B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9941744"/>
        <c:axId val="159942136"/>
      </c:barChart>
      <c:catAx>
        <c:axId val="15994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42136"/>
        <c:crosses val="autoZero"/>
        <c:auto val="1"/>
        <c:lblAlgn val="ctr"/>
        <c:lblOffset val="100"/>
        <c:noMultiLvlLbl val="0"/>
      </c:catAx>
      <c:valAx>
        <c:axId val="1599421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994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92017392201222E-2"/>
          <c:y val="0.76608136833290918"/>
          <c:w val="0.97257660137385249"/>
          <c:h val="0.233918631667090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768607623331786E-2"/>
          <c:y val="4.8872589474096652E-2"/>
          <c:w val="0.92046278475333643"/>
          <c:h val="0.64031665093741641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Global!$AG$87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Global!$AH$86:$AI$86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Global!$AH$87:$AI$87</c:f>
              <c:numCache>
                <c:formatCode>0.00%</c:formatCode>
                <c:ptCount val="2"/>
                <c:pt idx="0">
                  <c:v>0.30800000000000005</c:v>
                </c:pt>
                <c:pt idx="1">
                  <c:v>0.30450000000000005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9-44F4-8FCE-491E0CBD0B64}"/>
            </c:ext>
          </c:extLst>
        </c:ser>
        <c:ser>
          <c:idx val="1"/>
          <c:order val="1"/>
          <c:tx>
            <c:strRef>
              <c:f>Global!$AG$88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Global!$AH$86:$AI$86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Global!$AH$88:$AI$88</c:f>
              <c:numCache>
                <c:formatCode>0.00%</c:formatCode>
                <c:ptCount val="2"/>
                <c:pt idx="0">
                  <c:v>0.23472727272727273</c:v>
                </c:pt>
                <c:pt idx="1">
                  <c:v>0.23250000000000001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49-44F4-8FCE-491E0CBD0B64}"/>
            </c:ext>
          </c:extLst>
        </c:ser>
        <c:ser>
          <c:idx val="2"/>
          <c:order val="2"/>
          <c:tx>
            <c:strRef>
              <c:f>Global!$AG$89</c:f>
              <c:strCache>
                <c:ptCount val="1"/>
                <c:pt idx="0">
                  <c:v>Asia-Pacific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Global!$AH$86:$AI$86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Global!$AH$89:$AI$89</c:f>
              <c:numCache>
                <c:formatCode>0.00%</c:formatCode>
                <c:ptCount val="2"/>
                <c:pt idx="0">
                  <c:v>0.20872727272727273</c:v>
                </c:pt>
                <c:pt idx="1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C-42B3-B421-953791F1C814}"/>
            </c:ext>
          </c:extLst>
        </c:ser>
        <c:ser>
          <c:idx val="3"/>
          <c:order val="3"/>
          <c:tx>
            <c:strRef>
              <c:f>Global!$AG$90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Global!$AH$86:$AI$86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Global!$AH$90:$AI$90</c:f>
              <c:numCache>
                <c:formatCode>0.00%</c:formatCode>
                <c:ptCount val="2"/>
                <c:pt idx="0">
                  <c:v>0.13090909090909092</c:v>
                </c:pt>
                <c:pt idx="1">
                  <c:v>0.13250000000000001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FC-42B3-B421-953791F1C814}"/>
            </c:ext>
          </c:extLst>
        </c:ser>
        <c:ser>
          <c:idx val="4"/>
          <c:order val="4"/>
          <c:tx>
            <c:strRef>
              <c:f>Global!$AG$91</c:f>
              <c:strCache>
                <c:ptCount val="1"/>
                <c:pt idx="0">
                  <c:v>Middle East &amp; Africa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Global!$AH$86:$AI$86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Global!$AH$91:$AI$91</c:f>
              <c:numCache>
                <c:formatCode>0.00%</c:formatCode>
                <c:ptCount val="2"/>
                <c:pt idx="0">
                  <c:v>0.11763636363636364</c:v>
                </c:pt>
                <c:pt idx="1">
                  <c:v>0.1205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FC-42B3-B421-953791F1C8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5615640"/>
        <c:axId val="195614464"/>
      </c:barChart>
      <c:catAx>
        <c:axId val="195615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14464"/>
        <c:crosses val="autoZero"/>
        <c:auto val="1"/>
        <c:lblAlgn val="ctr"/>
        <c:lblOffset val="100"/>
        <c:noMultiLvlLbl val="0"/>
      </c:catAx>
      <c:valAx>
        <c:axId val="19561446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5615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956888844868014E-2"/>
          <c:y val="0.80095748876649808"/>
          <c:w val="0.96504311115513197"/>
          <c:h val="0.199042511233501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914260717410323E-2"/>
          <c:y val="5.0925925925925923E-2"/>
          <c:w val="0.84953718285214352"/>
          <c:h val="0.654239879766066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Global!$Q$21</c:f>
              <c:strCache>
                <c:ptCount val="1"/>
                <c:pt idx="0">
                  <c:v>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Global!$R$5:$AB$5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Global!$R$21:$AB$21</c:f>
              <c:numCache>
                <c:formatCode>_(* #,##0.00_);_(* \(#,##0.00\);_(* "-"??_);_(@_)</c:formatCode>
                <c:ptCount val="11"/>
                <c:pt idx="0">
                  <c:v>2.2097138460774879</c:v>
                </c:pt>
                <c:pt idx="1">
                  <c:v>2.8750446782389805</c:v>
                </c:pt>
                <c:pt idx="2">
                  <c:v>3.4884368641927566</c:v>
                </c:pt>
                <c:pt idx="3">
                  <c:v>4.7108291504505795</c:v>
                </c:pt>
                <c:pt idx="4">
                  <c:v>5.4600612840017826</c:v>
                </c:pt>
                <c:pt idx="5">
                  <c:v>6.089521165857037</c:v>
                </c:pt>
                <c:pt idx="6">
                  <c:v>7.4578514970992549</c:v>
                </c:pt>
                <c:pt idx="7">
                  <c:v>8.80623514406631</c:v>
                </c:pt>
                <c:pt idx="8">
                  <c:v>9.9321384351944921</c:v>
                </c:pt>
                <c:pt idx="9">
                  <c:v>10.997961908777842</c:v>
                </c:pt>
                <c:pt idx="10">
                  <c:v>12.01725742653592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C-4AB2-A7FD-F3FC8895012B}"/>
            </c:ext>
          </c:extLst>
        </c:ser>
        <c:ser>
          <c:idx val="1"/>
          <c:order val="1"/>
          <c:tx>
            <c:strRef>
              <c:f>Global!$Q$22</c:f>
              <c:strCache>
                <c:ptCount val="1"/>
                <c:pt idx="0">
                  <c:v>Military, Defense and Aerospace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Global!$R$5:$AB$5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Global!$R$22:$AB$22</c:f>
              <c:numCache>
                <c:formatCode>_(* #,##0.00_);_(* \(#,##0.00\);_(* "-"??_);_(@_)</c:formatCode>
                <c:ptCount val="11"/>
                <c:pt idx="0">
                  <c:v>2.2633028853124681</c:v>
                </c:pt>
                <c:pt idx="1">
                  <c:v>2.9289248699153614</c:v>
                </c:pt>
                <c:pt idx="2">
                  <c:v>3.5425803892182417</c:v>
                </c:pt>
                <c:pt idx="3">
                  <c:v>4.7655537019447136</c:v>
                </c:pt>
                <c:pt idx="4">
                  <c:v>5.5151185765731858</c:v>
                </c:pt>
                <c:pt idx="5">
                  <c:v>6.1448480034659525</c:v>
                </c:pt>
                <c:pt idx="6">
                  <c:v>7.5138321995464663</c:v>
                </c:pt>
                <c:pt idx="7">
                  <c:v>8.8628579141849517</c:v>
                </c:pt>
                <c:pt idx="8">
                  <c:v>9.9892862263105684</c:v>
                </c:pt>
                <c:pt idx="9">
                  <c:v>11.055602380405061</c:v>
                </c:pt>
                <c:pt idx="10">
                  <c:v>12.07536537056022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351C-4AB2-A7FD-F3FC8895012B}"/>
            </c:ext>
          </c:extLst>
        </c:ser>
        <c:ser>
          <c:idx val="2"/>
          <c:order val="2"/>
          <c:tx>
            <c:strRef>
              <c:f>Global!$Q$23</c:f>
              <c:strCache>
                <c:ptCount val="1"/>
                <c:pt idx="0">
                  <c:v>Consumer 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Global!$R$5:$AB$5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Global!$R$23:$AB$23</c:f>
              <c:numCache>
                <c:formatCode>_(* #,##0.00_);_(* \(#,##0.00\);_(* "-"??_);_(@_)</c:formatCode>
                <c:ptCount val="11"/>
                <c:pt idx="0">
                  <c:v>2.1131501688529841</c:v>
                </c:pt>
                <c:pt idx="1">
                  <c:v>2.777813600881851</c:v>
                </c:pt>
                <c:pt idx="2">
                  <c:v>3.390586926187189</c:v>
                </c:pt>
                <c:pt idx="3">
                  <c:v>4.6117837706499687</c:v>
                </c:pt>
                <c:pt idx="4">
                  <c:v>5.3602672066549673</c:v>
                </c:pt>
                <c:pt idx="5">
                  <c:v>5.9890911361224042</c:v>
                </c:pt>
                <c:pt idx="6">
                  <c:v>7.3560852312586134</c:v>
                </c:pt>
                <c:pt idx="7">
                  <c:v>8.7031504270243651</c:v>
                </c:pt>
                <c:pt idx="8">
                  <c:v>9.8279450327908755</c:v>
                </c:pt>
                <c:pt idx="9">
                  <c:v>10.89271585446976</c:v>
                </c:pt>
                <c:pt idx="10">
                  <c:v>11.911001965702471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1BE-4309-A4CB-DEF1672EF3B9}"/>
            </c:ext>
          </c:extLst>
        </c:ser>
        <c:ser>
          <c:idx val="3"/>
          <c:order val="3"/>
          <c:tx>
            <c:strRef>
              <c:f>Global!$Q$24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Global!$R$5:$AB$5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Global!$R$24:$AB$24</c:f>
              <c:numCache>
                <c:formatCode>_(* #,##0.00_);_(* \(#,##0.00\);_(* "-"??_);_(@_)</c:formatCode>
                <c:ptCount val="11"/>
                <c:pt idx="0">
                  <c:v>2.2302417588729861</c:v>
                </c:pt>
                <c:pt idx="1">
                  <c:v>2.8956907951757538</c:v>
                </c:pt>
                <c:pt idx="2">
                  <c:v>3.5091905877329133</c:v>
                </c:pt>
                <c:pt idx="3">
                  <c:v>4.7318123534530576</c:v>
                </c:pt>
                <c:pt idx="4">
                  <c:v>5.4811788721805366</c:v>
                </c:pt>
                <c:pt idx="5">
                  <c:v>6.1107489678918103</c:v>
                </c:pt>
                <c:pt idx="6">
                  <c:v>7.4793370762497258</c:v>
                </c:pt>
                <c:pt idx="7">
                  <c:v>8.8279741257300657</c:v>
                </c:pt>
                <c:pt idx="8">
                  <c:v>9.9540860191678071</c:v>
                </c:pt>
                <c:pt idx="9">
                  <c:v>11.020105793259184</c:v>
                </c:pt>
                <c:pt idx="10">
                  <c:v>12.039588038570326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91BE-4309-A4CB-DEF1672EF3B9}"/>
            </c:ext>
          </c:extLst>
        </c:ser>
        <c:ser>
          <c:idx val="4"/>
          <c:order val="4"/>
          <c:tx>
            <c:strRef>
              <c:f>Global!$Q$25</c:f>
              <c:strCache>
                <c:ptCount val="1"/>
                <c:pt idx="0">
                  <c:v>Healthcare and Medical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Global!$R$5:$AB$5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Global!$R$25:$AB$25</c:f>
              <c:numCache>
                <c:formatCode>_(* #,##0.00_);_(* \(#,##0.00\);_(* "-"??_);_(@_)</c:formatCode>
                <c:ptCount val="11"/>
                <c:pt idx="0">
                  <c:v>2.0690347180413404</c:v>
                </c:pt>
                <c:pt idx="1">
                  <c:v>2.7333320225713331</c:v>
                </c:pt>
                <c:pt idx="2">
                  <c:v>3.3457604801420793</c:v>
                </c:pt>
                <c:pt idx="3">
                  <c:v>4.5663470334855516</c:v>
                </c:pt>
                <c:pt idx="4">
                  <c:v>5.3144237512662729</c:v>
                </c:pt>
                <c:pt idx="5">
                  <c:v>5.9428917364544365</c:v>
                </c:pt>
                <c:pt idx="6">
                  <c:v>7.3092063492063541</c:v>
                </c:pt>
                <c:pt idx="7">
                  <c:v>8.6555984190471733</c:v>
                </c:pt>
                <c:pt idx="8">
                  <c:v>9.7798149650677004</c:v>
                </c:pt>
                <c:pt idx="9">
                  <c:v>10.844032078253685</c:v>
                </c:pt>
                <c:pt idx="10">
                  <c:v>11.861783011370131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91BE-4309-A4CB-DEF1672EF3B9}"/>
            </c:ext>
          </c:extLst>
        </c:ser>
        <c:ser>
          <c:idx val="5"/>
          <c:order val="5"/>
          <c:tx>
            <c:strRef>
              <c:f>Global!$Q$26</c:f>
              <c:strCache>
                <c:ptCount val="1"/>
                <c:pt idx="0">
                  <c:v>Energy and Power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Global!$R$5:$AB$5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Global!$R$26:$AB$26</c:f>
              <c:numCache>
                <c:formatCode>_(* #,##0.00_);_(* \(#,##0.00\);_(* "-"??_);_(@_)</c:formatCode>
                <c:ptCount val="11"/>
                <c:pt idx="0">
                  <c:v>2.244796189942555</c:v>
                </c:pt>
                <c:pt idx="1">
                  <c:v>2.9103240111047146</c:v>
                </c:pt>
                <c:pt idx="2">
                  <c:v>3.5238950286540005</c:v>
                </c:pt>
                <c:pt idx="3">
                  <c:v>4.7466742931683292</c:v>
                </c:pt>
                <c:pt idx="4">
                  <c:v>5.496130875505445</c:v>
                </c:pt>
                <c:pt idx="5">
                  <c:v>6.1257738677093387</c:v>
                </c:pt>
                <c:pt idx="6">
                  <c:v>7.4945392341769335</c:v>
                </c:pt>
                <c:pt idx="7">
                  <c:v>8.8433503293661389</c:v>
                </c:pt>
                <c:pt idx="8">
                  <c:v>9.9696044758046618</c:v>
                </c:pt>
                <c:pt idx="9">
                  <c:v>11.035757713562644</c:v>
                </c:pt>
                <c:pt idx="10">
                  <c:v>12.055366570427539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91BE-4309-A4CB-DEF1672EF3B9}"/>
            </c:ext>
          </c:extLst>
        </c:ser>
        <c:ser>
          <c:idx val="6"/>
          <c:order val="6"/>
          <c:tx>
            <c:strRef>
              <c:f>Global!$Q$27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Global!$R$5:$AB$5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Global!$R$27:$AB$27</c:f>
              <c:numCache>
                <c:formatCode>_(* #,##0.00_);_(* \(#,##0.00\);_(* "-"??_);_(@_)</c:formatCode>
                <c:ptCount val="11"/>
                <c:pt idx="0">
                  <c:v>2.3215062449512214</c:v>
                </c:pt>
                <c:pt idx="1">
                  <c:v>2.9873805157105915</c:v>
                </c:pt>
                <c:pt idx="2">
                  <c:v>3.6012576569181887</c:v>
                </c:pt>
                <c:pt idx="3">
                  <c:v>4.8247960640300791</c:v>
                </c:pt>
                <c:pt idx="4">
                  <c:v>5.5746563486185563</c:v>
                </c:pt>
                <c:pt idx="5">
                  <c:v>6.2046123145919507</c:v>
                </c:pt>
                <c:pt idx="6">
                  <c:v>7.574237288135599</c:v>
                </c:pt>
                <c:pt idx="7">
                  <c:v>8.9238897131909134</c:v>
                </c:pt>
                <c:pt idx="8">
                  <c:v>10.050817392971867</c:v>
                </c:pt>
                <c:pt idx="9">
                  <c:v>11.117597090022002</c:v>
                </c:pt>
                <c:pt idx="10">
                  <c:v>12.137795577896714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9-49E8-A340-F3BD42759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9152448"/>
        <c:axId val="1689551328"/>
        <c:extLst/>
      </c:barChart>
      <c:catAx>
        <c:axId val="129915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551328"/>
        <c:crosses val="autoZero"/>
        <c:auto val="1"/>
        <c:lblAlgn val="ctr"/>
        <c:lblOffset val="100"/>
        <c:noMultiLvlLbl val="0"/>
      </c:catAx>
      <c:valAx>
        <c:axId val="1689551328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5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652439863702603E-2"/>
          <c:y val="0.79604077498611425"/>
          <c:w val="0.92971874027767021"/>
          <c:h val="0.20395922501388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914260717410323E-2"/>
          <c:y val="5.0925925925925923E-2"/>
          <c:w val="0.84320384951881011"/>
          <c:h val="0.676582758293085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Global!$Q$30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Global!$R$5:$AB$5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Global!$R$30:$AB$30</c:f>
              <c:numCache>
                <c:formatCode>_(* #,##0.00_);_(* \(#,##0.00\);_(* "-"??_);_(@_)</c:formatCode>
                <c:ptCount val="11"/>
                <c:pt idx="0">
                  <c:v>2.0170087976539408</c:v>
                </c:pt>
                <c:pt idx="1">
                  <c:v>2.6808248868856577</c:v>
                </c:pt>
                <c:pt idx="2">
                  <c:v>3.2927962732780092</c:v>
                </c:pt>
                <c:pt idx="3">
                  <c:v>4.512610918079174</c:v>
                </c:pt>
                <c:pt idx="4">
                  <c:v>5.2601551802829771</c:v>
                </c:pt>
                <c:pt idx="5">
                  <c:v>5.8881497905888036</c:v>
                </c:pt>
                <c:pt idx="6">
                  <c:v>7.2536063285248975</c:v>
                </c:pt>
                <c:pt idx="7">
                  <c:v>8.5991461594529852</c:v>
                </c:pt>
                <c:pt idx="8">
                  <c:v>9.7226217300286031</c:v>
                </c:pt>
                <c:pt idx="9">
                  <c:v>10.786125336571462</c:v>
                </c:pt>
                <c:pt idx="10">
                  <c:v>11.803183377811678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9-467B-BE7F-DDDE15E036B2}"/>
            </c:ext>
          </c:extLst>
        </c:ser>
        <c:ser>
          <c:idx val="1"/>
          <c:order val="1"/>
          <c:tx>
            <c:strRef>
              <c:f>Global!$Q$31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Global!$R$5:$AB$5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Global!$R$31:$AB$31</c:f>
              <c:numCache>
                <c:formatCode>_(* #,##0.00_);_(* \(#,##0.00\);_(* "-"??_);_(@_)</c:formatCode>
                <c:ptCount val="11"/>
                <c:pt idx="0">
                  <c:v>2.0440537890460853</c:v>
                </c:pt>
                <c:pt idx="1">
                  <c:v>2.7081267137273102</c:v>
                </c:pt>
                <c:pt idx="2">
                  <c:v>3.3203425191220326</c:v>
                </c:pt>
                <c:pt idx="3">
                  <c:v>4.5405655026197644</c:v>
                </c:pt>
                <c:pt idx="4">
                  <c:v>5.2883937210919552</c:v>
                </c:pt>
                <c:pt idx="5">
                  <c:v>5.9166416932559862</c:v>
                </c:pt>
                <c:pt idx="6">
                  <c:v>7.2825520110957109</c:v>
                </c:pt>
                <c:pt idx="7">
                  <c:v>8.6285428241650521</c:v>
                </c:pt>
                <c:pt idx="8">
                  <c:v>9.7524116643435743</c:v>
                </c:pt>
                <c:pt idx="9">
                  <c:v>10.816294442103413</c:v>
                </c:pt>
                <c:pt idx="10">
                  <c:v>11.83372111811023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9-467B-BE7F-DDDE15E036B2}"/>
            </c:ext>
          </c:extLst>
        </c:ser>
        <c:ser>
          <c:idx val="2"/>
          <c:order val="2"/>
          <c:tx>
            <c:strRef>
              <c:f>Global!$Q$32</c:f>
              <c:strCache>
                <c:ptCount val="1"/>
                <c:pt idx="0">
                  <c:v>Asia-Pacific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Global!$R$5:$AB$5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Global!$R$32:$AB$32</c:f>
              <c:numCache>
                <c:formatCode>_(* #,##0.00_);_(* \(#,##0.00\);_(* "-"??_);_(@_)</c:formatCode>
                <c:ptCount val="11"/>
                <c:pt idx="0">
                  <c:v>2.271137952956126</c:v>
                </c:pt>
                <c:pt idx="1">
                  <c:v>2.9367977746352025</c:v>
                </c:pt>
                <c:pt idx="2">
                  <c:v>3.5504870257311305</c:v>
                </c:pt>
                <c:pt idx="3">
                  <c:v>4.7735403976638224</c:v>
                </c:pt>
                <c:pt idx="4">
                  <c:v>5.5231490242789283</c:v>
                </c:pt>
                <c:pt idx="5">
                  <c:v>6.1529129414247041</c:v>
                </c:pt>
                <c:pt idx="6">
                  <c:v>7.5219875776397549</c:v>
                </c:pt>
                <c:pt idx="7">
                  <c:v>8.8711019095328645</c:v>
                </c:pt>
                <c:pt idx="8">
                  <c:v>9.9976017046998322</c:v>
                </c:pt>
                <c:pt idx="9">
                  <c:v>11.063984556416639</c:v>
                </c:pt>
                <c:pt idx="10">
                  <c:v>12.083810503961656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89-467B-BE7F-DDDE15E036B2}"/>
            </c:ext>
          </c:extLst>
        </c:ser>
        <c:ser>
          <c:idx val="3"/>
          <c:order val="3"/>
          <c:tx>
            <c:strRef>
              <c:f>Global!$Q$33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Global!$R$5:$AB$5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Global!$R$33:$AB$33</c:f>
              <c:numCache>
                <c:formatCode>_(* #,##0.00_);_(* \(#,##0.00\);_(* "-"??_);_(@_)</c:formatCode>
                <c:ptCount val="11"/>
                <c:pt idx="0">
                  <c:v>2.3604577240941005</c:v>
                </c:pt>
                <c:pt idx="1">
                  <c:v>3.0264637016886864</c:v>
                </c:pt>
                <c:pt idx="2">
                  <c:v>3.6404518765899674</c:v>
                </c:pt>
                <c:pt idx="3">
                  <c:v>4.8643303766177093</c:v>
                </c:pt>
                <c:pt idx="4">
                  <c:v>5.6143503727369648</c:v>
                </c:pt>
                <c:pt idx="5">
                  <c:v>6.2444199359277253</c:v>
                </c:pt>
                <c:pt idx="6">
                  <c:v>7.6144340088976969</c:v>
                </c:pt>
                <c:pt idx="7">
                  <c:v>8.9644655128063633</c:v>
                </c:pt>
                <c:pt idx="8">
                  <c:v>10.0916870415648</c:v>
                </c:pt>
                <c:pt idx="9">
                  <c:v>11.158736327799668</c:v>
                </c:pt>
                <c:pt idx="10">
                  <c:v>12.179185371351696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89-467B-BE7F-DDDE15E036B2}"/>
            </c:ext>
          </c:extLst>
        </c:ser>
        <c:ser>
          <c:idx val="4"/>
          <c:order val="4"/>
          <c:tx>
            <c:strRef>
              <c:f>Global!$Q$34</c:f>
              <c:strCache>
                <c:ptCount val="1"/>
                <c:pt idx="0">
                  <c:v>Middle East &amp; Africa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Global!$R$5:$AB$5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Global!$R$34:$AB$34</c:f>
              <c:numCache>
                <c:formatCode>_(* #,##0.00_);_(* \(#,##0.00\);_(* "-"??_);_(@_)</c:formatCode>
                <c:ptCount val="11"/>
                <c:pt idx="0">
                  <c:v>2.5421772584782065</c:v>
                </c:pt>
                <c:pt idx="1">
                  <c:v>3.2084053020881242</c:v>
                </c:pt>
                <c:pt idx="2">
                  <c:v>3.8225196235509351</c:v>
                </c:pt>
                <c:pt idx="3">
                  <c:v>5.0475865655325247</c:v>
                </c:pt>
                <c:pt idx="4">
                  <c:v>5.7979566542064154</c:v>
                </c:pt>
                <c:pt idx="5">
                  <c:v>6.428163031936629</c:v>
                </c:pt>
                <c:pt idx="6">
                  <c:v>7.7995833790154512</c:v>
                </c:pt>
                <c:pt idx="7">
                  <c:v>9.1509702615841562</c:v>
                </c:pt>
                <c:pt idx="8">
                  <c:v>10.279151633967443</c:v>
                </c:pt>
                <c:pt idx="9">
                  <c:v>11.347046788282711</c:v>
                </c:pt>
                <c:pt idx="10">
                  <c:v>12.368252314259752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89-467B-BE7F-DDDE15E03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2818880"/>
        <c:axId val="1609871248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SEA!#REF!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Global!$R$5:$AB$5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SEA!#REF!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5E2-4437-BAFD-706C3321BA4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SEA!#REF!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5E2-4437-BAFD-706C3321BA45}"/>
                  </c:ext>
                </c:extLst>
              </c15:ser>
            </c15:filteredBarSeries>
          </c:ext>
        </c:extLst>
      </c:barChart>
      <c:catAx>
        <c:axId val="86281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871248"/>
        <c:crosses val="autoZero"/>
        <c:auto val="1"/>
        <c:lblAlgn val="ctr"/>
        <c:lblOffset val="100"/>
        <c:noMultiLvlLbl val="0"/>
      </c:catAx>
      <c:valAx>
        <c:axId val="1609871248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1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537716828826199E-2"/>
          <c:y val="0.82483042608283252"/>
          <c:w val="0.92721311503219295"/>
          <c:h val="0.138132523378726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914260717410323E-2"/>
          <c:y val="5.0925925925925923E-2"/>
          <c:w val="0.84953718285214352"/>
          <c:h val="0.66148143694638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Global!$Q$8</c:f>
              <c:strCache>
                <c:ptCount val="1"/>
                <c:pt idx="0">
                  <c:v>Flexible 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Global!$R$5:$AB$5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Global!$R$8:$AB$8</c:f>
              <c:numCache>
                <c:formatCode>_(* #,##0.00_);_(* \(#,##0.00\);_(* "-"??_);_(@_)</c:formatCode>
                <c:ptCount val="11"/>
                <c:pt idx="0">
                  <c:v>2.1480390683696449</c:v>
                </c:pt>
                <c:pt idx="1">
                  <c:v>2.8129648458830037</c:v>
                </c:pt>
                <c:pt idx="2">
                  <c:v>3.425983263263066</c:v>
                </c:pt>
                <c:pt idx="3">
                  <c:v>4.6476341832138557</c:v>
                </c:pt>
                <c:pt idx="4">
                  <c:v>5.3964104305008531</c:v>
                </c:pt>
                <c:pt idx="5">
                  <c:v>6.0254866546257224</c:v>
                </c:pt>
                <c:pt idx="6">
                  <c:v>7.3929872710926103</c:v>
                </c:pt>
                <c:pt idx="7">
                  <c:v>8.7405531350901668</c:v>
                </c:pt>
                <c:pt idx="8">
                  <c:v>9.8657728454811568</c:v>
                </c:pt>
                <c:pt idx="9">
                  <c:v>10.930948917600759</c:v>
                </c:pt>
                <c:pt idx="10">
                  <c:v>11.949625037070732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F-4AB2-AA62-2A7674923D5D}"/>
            </c:ext>
          </c:extLst>
        </c:ser>
        <c:ser>
          <c:idx val="5"/>
          <c:order val="5"/>
          <c:tx>
            <c:strRef>
              <c:f>Global!$Q$13</c:f>
              <c:strCache>
                <c:ptCount val="1"/>
                <c:pt idx="0">
                  <c:v>Flexible Circuit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Global!$R$5:$AB$5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Global!$R$13:$AB$13</c:f>
              <c:numCache>
                <c:formatCode>_(* #,##0.00_);_(* \(#,##0.00\);_(* "-"??_);_(@_)</c:formatCode>
                <c:ptCount val="11"/>
                <c:pt idx="0">
                  <c:v>2.223103764921941</c:v>
                </c:pt>
                <c:pt idx="1">
                  <c:v>0</c:v>
                </c:pt>
                <c:pt idx="2">
                  <c:v>0</c:v>
                </c:pt>
                <c:pt idx="3">
                  <c:v>4.7245189102226748</c:v>
                </c:pt>
                <c:pt idx="4">
                  <c:v>5.4738396782171517</c:v>
                </c:pt>
                <c:pt idx="5">
                  <c:v>6.1033724340175954</c:v>
                </c:pt>
                <c:pt idx="6">
                  <c:v>7.4718719410376</c:v>
                </c:pt>
                <c:pt idx="7">
                  <c:v>8.8204219315239918</c:v>
                </c:pt>
                <c:pt idx="8">
                  <c:v>9.9464623498469287</c:v>
                </c:pt>
                <c:pt idx="9">
                  <c:v>11.012414939483662</c:v>
                </c:pt>
                <c:pt idx="10">
                  <c:v>12.031833341669905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BE-47E3-B7A2-6BB241F32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8961039"/>
        <c:axId val="129506998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Global!$Q$9</c15:sqref>
                        </c15:formulaRef>
                      </c:ext>
                    </c:extLst>
                    <c:strCache>
                      <c:ptCount val="1"/>
                      <c:pt idx="0">
                        <c:v>Flexible Displays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Global!$R$5:$AB$5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Global!$R$9:$AB$9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1.9867438016528904</c:v>
                      </c:pt>
                      <c:pt idx="1">
                        <c:v>2.650255307852345</c:v>
                      </c:pt>
                      <c:pt idx="2">
                        <c:v>3.2619356321810011</c:v>
                      </c:pt>
                      <c:pt idx="3">
                        <c:v>4.4812750924036582</c:v>
                      </c:pt>
                      <c:pt idx="4">
                        <c:v>5.2284830895704237</c:v>
                      </c:pt>
                      <c:pt idx="5">
                        <c:v>5.8561753375888426</c:v>
                      </c:pt>
                      <c:pt idx="6">
                        <c:v>7.2211040752515832</c:v>
                      </c:pt>
                      <c:pt idx="7">
                        <c:v>8.5661185945252747</c:v>
                      </c:pt>
                      <c:pt idx="8">
                        <c:v>9.6891330766758266</c:v>
                      </c:pt>
                      <c:pt idx="9">
                        <c:v>10.752190868917854</c:v>
                      </c:pt>
                      <c:pt idx="10">
                        <c:v>11.768814385293936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9FF-4AB2-AA62-2A7674923D5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Global!$Q$10</c15:sqref>
                        </c15:formulaRef>
                      </c:ext>
                    </c:extLst>
                    <c:strCache>
                      <c:ptCount val="1"/>
                      <c:pt idx="0">
                        <c:v>Flexible Batteries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Global!$R$10:$AB$10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2.2409316303531268</c:v>
                      </c:pt>
                      <c:pt idx="1">
                        <c:v>2.9064389384453548</c:v>
                      </c:pt>
                      <c:pt idx="2">
                        <c:v>3.5199914537385135</c:v>
                      </c:pt>
                      <c:pt idx="3">
                        <c:v>4.7427293188333053</c:v>
                      </c:pt>
                      <c:pt idx="4">
                        <c:v>5.4921624082207465</c:v>
                      </c:pt>
                      <c:pt idx="5">
                        <c:v>6.1217864678927647</c:v>
                      </c:pt>
                      <c:pt idx="6">
                        <c:v>7.4905052121326143</c:v>
                      </c:pt>
                      <c:pt idx="7">
                        <c:v>8.8392705467396748</c:v>
                      </c:pt>
                      <c:pt idx="8">
                        <c:v>9.9654873764130727</c:v>
                      </c:pt>
                      <c:pt idx="9">
                        <c:v>11.031605636342912</c:v>
                      </c:pt>
                      <c:pt idx="10">
                        <c:v>12.051181339734661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9FF-4AB2-AA62-2A7674923D5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Global!$Q$11</c15:sqref>
                        </c15:formulaRef>
                      </c:ext>
                    </c:extLst>
                    <c:strCache>
                      <c:ptCount val="1"/>
                      <c:pt idx="0">
                        <c:v>Flexible Sensors 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Global!$R$11:$AB$11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2.2149940968122728</c:v>
                      </c:pt>
                      <c:pt idx="1">
                        <c:v>2.8803561259978183</c:v>
                      </c:pt>
                      <c:pt idx="2">
                        <c:v>3.4937767907865513</c:v>
                      </c:pt>
                      <c:pt idx="3">
                        <c:v>4.7162289261317492</c:v>
                      </c:pt>
                      <c:pt idx="4">
                        <c:v>5.4654964508148884</c:v>
                      </c:pt>
                      <c:pt idx="5">
                        <c:v>6.0949855115171259</c:v>
                      </c:pt>
                      <c:pt idx="6">
                        <c:v>7.4633830200907303</c:v>
                      </c:pt>
                      <c:pt idx="7">
                        <c:v>8.8118327371475402</c:v>
                      </c:pt>
                      <c:pt idx="8">
                        <c:v>9.9377905798294854</c:v>
                      </c:pt>
                      <c:pt idx="9">
                        <c:v>11.003665451811306</c:v>
                      </c:pt>
                      <c:pt idx="10">
                        <c:v>12.023009916355875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9FF-4AB2-AA62-2A7674923D5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Global!$Q$12</c15:sqref>
                        </c15:formulaRef>
                      </c:ext>
                    </c:extLst>
                    <c:strCache>
                      <c:ptCount val="1"/>
                      <c:pt idx="0">
                        <c:v>Flexible Memory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Global!$R$12:$AB$12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2.2747107438016778</c:v>
                      </c:pt>
                      <c:pt idx="1">
                        <c:v>2.9403874187490464</c:v>
                      </c:pt>
                      <c:pt idx="2">
                        <c:v>3.5540916484027241</c:v>
                      </c:pt>
                      <c:pt idx="3">
                        <c:v>4.7771811144431409</c:v>
                      </c:pt>
                      <c:pt idx="4">
                        <c:v>5.5268092790665246</c:v>
                      </c:pt>
                      <c:pt idx="5">
                        <c:v>6.1565885095296924</c:v>
                      </c:pt>
                      <c:pt idx="6">
                        <c:v>7.5257039524670555</c:v>
                      </c:pt>
                      <c:pt idx="7">
                        <c:v>8.8748582521286146</c:v>
                      </c:pt>
                      <c:pt idx="8">
                        <c:v>10.001390200630222</c:v>
                      </c:pt>
                      <c:pt idx="9">
                        <c:v>11.067803019285027</c:v>
                      </c:pt>
                      <c:pt idx="10">
                        <c:v>12.087657224184877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3BE-47E3-B7A2-6BB241F324B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Global!$Q$14</c15:sqref>
                        </c15:formulaRef>
                      </c:ext>
                    </c:extLst>
                    <c:strCache>
                      <c:ptCount val="1"/>
                      <c:pt idx="0">
                        <c:v>Single Sided Flex Circuit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Global!$R$14:$AB$14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2.2493764087152757</c:v>
                      </c:pt>
                      <c:pt idx="1">
                        <c:v>2.9149281613755962</c:v>
                      </c:pt>
                      <c:pt idx="2">
                        <c:v>3.5285207241189998</c:v>
                      </c:pt>
                      <c:pt idx="3">
                        <c:v>4.7513486613797618</c:v>
                      </c:pt>
                      <c:pt idx="4">
                        <c:v>5.5008326934076646</c:v>
                      </c:pt>
                      <c:pt idx="5">
                        <c:v>6.1304977285207896</c:v>
                      </c:pt>
                      <c:pt idx="6">
                        <c:v>7.4993179359330364</c:v>
                      </c:pt>
                      <c:pt idx="7">
                        <c:v>8.8481828429004317</c:v>
                      </c:pt>
                      <c:pt idx="8">
                        <c:v>9.9744807918512368</c:v>
                      </c:pt>
                      <c:pt idx="9">
                        <c:v>11.040675055388881</c:v>
                      </c:pt>
                      <c:pt idx="10">
                        <c:v>12.060322771367215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3BE-47E3-B7A2-6BB241F324B9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Global!$Q$15</c15:sqref>
                        </c15:formulaRef>
                      </c:ext>
                    </c:extLst>
                    <c:strCache>
                      <c:ptCount val="1"/>
                      <c:pt idx="0">
                        <c:v>Double Sided Flex Circuit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Global!$R$15:$AB$15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2.3366391184572732</c:v>
                      </c:pt>
                      <c:pt idx="1">
                        <c:v>3.0025680921282882</c:v>
                      </c:pt>
                      <c:pt idx="2">
                        <c:v>3.6164919139861418</c:v>
                      </c:pt>
                      <c:pt idx="3">
                        <c:v>4.8401660638528687</c:v>
                      </c:pt>
                      <c:pt idx="4">
                        <c:v>5.5900919973824958</c:v>
                      </c:pt>
                      <c:pt idx="5">
                        <c:v>6.2200956937799257</c:v>
                      </c:pt>
                      <c:pt idx="6">
                        <c:v>7.5898755898755832</c:v>
                      </c:pt>
                      <c:pt idx="7">
                        <c:v>8.9396790966218997</c:v>
                      </c:pt>
                      <c:pt idx="8">
                        <c:v>10.066724741226585</c:v>
                      </c:pt>
                      <c:pt idx="9">
                        <c:v>11.133612999662468</c:v>
                      </c:pt>
                      <c:pt idx="10">
                        <c:v>12.153912673999701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3BE-47E3-B7A2-6BB241F324B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Global!$Q$16</c15:sqref>
                        </c15:formulaRef>
                      </c:ext>
                    </c:extLst>
                    <c:strCache>
                      <c:ptCount val="1"/>
                      <c:pt idx="0">
                        <c:v>Multilayer Flex Circuit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Global!$R$16:$AB$16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2.0531977113795286</c:v>
                      </c:pt>
                      <c:pt idx="1">
                        <c:v>2.7173541989244487</c:v>
                      </c:pt>
                      <c:pt idx="2">
                        <c:v>3.3296493022335172</c:v>
                      </c:pt>
                      <c:pt idx="3">
                        <c:v>4.5500068786544334</c:v>
                      </c:pt>
                      <c:pt idx="4">
                        <c:v>5.2979275891214206</c:v>
                      </c:pt>
                      <c:pt idx="5">
                        <c:v>5.9262576503955611</c:v>
                      </c:pt>
                      <c:pt idx="6">
                        <c:v>7.2923176034788151</c:v>
                      </c:pt>
                      <c:pt idx="7">
                        <c:v>8.6384569889729192</c:v>
                      </c:pt>
                      <c:pt idx="8">
                        <c:v>9.7624548257592139</c:v>
                      </c:pt>
                      <c:pt idx="9">
                        <c:v>10.826461743459648</c:v>
                      </c:pt>
                      <c:pt idx="10">
                        <c:v>11.844008907496972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3BE-47E3-B7A2-6BB241F324B9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Global!$Q$17</c15:sqref>
                        </c15:formulaRef>
                      </c:ext>
                    </c:extLst>
                    <c:strCache>
                      <c:ptCount val="1"/>
                      <c:pt idx="0">
                        <c:v>Rigid Flex Circuit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Global!$R$17:$AB$17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2.2481700118063719</c:v>
                      </c:pt>
                      <c:pt idx="1">
                        <c:v>2.9137155010957816</c:v>
                      </c:pt>
                      <c:pt idx="2">
                        <c:v>3.5273024293260402</c:v>
                      </c:pt>
                      <c:pt idx="3">
                        <c:v>4.7501175878982949</c:v>
                      </c:pt>
                      <c:pt idx="4">
                        <c:v>5.4995944312933753</c:v>
                      </c:pt>
                      <c:pt idx="5">
                        <c:v>6.1292537020692262</c:v>
                      </c:pt>
                      <c:pt idx="6">
                        <c:v>7.4980595084087831</c:v>
                      </c:pt>
                      <c:pt idx="7">
                        <c:v>8.8469102862094076</c:v>
                      </c:pt>
                      <c:pt idx="8">
                        <c:v>9.9731967425434007</c:v>
                      </c:pt>
                      <c:pt idx="9">
                        <c:v>11.039380245319563</c:v>
                      </c:pt>
                      <c:pt idx="10">
                        <c:v>12.059017771684299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3BE-47E3-B7A2-6BB241F324B9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Global!$Q$18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Global!$R$18:$AB$18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2.3676033057851376</c:v>
                      </c:pt>
                      <c:pt idx="1">
                        <c:v>3.0336302161711792</c:v>
                      </c:pt>
                      <c:pt idx="2">
                        <c:v>3.6476355247981651</c:v>
                      </c:pt>
                      <c:pt idx="3">
                        <c:v>4.8715731159319375</c:v>
                      </c:pt>
                      <c:pt idx="4">
                        <c:v>5.621619127807076</c:v>
                      </c:pt>
                      <c:pt idx="5">
                        <c:v>6.251706251706235</c:v>
                      </c:pt>
                      <c:pt idx="6">
                        <c:v>7.6217882836588036</c:v>
                      </c:pt>
                      <c:pt idx="7">
                        <c:v>8.9718858627144016</c:v>
                      </c:pt>
                      <c:pt idx="8">
                        <c:v>10.099157837544137</c:v>
                      </c:pt>
                      <c:pt idx="9">
                        <c:v>11.166253101736977</c:v>
                      </c:pt>
                      <c:pt idx="10">
                        <c:v>12.186744615648992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3BE-47E3-B7A2-6BB241F324B9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SEA!#REF!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3BE-47E3-B7A2-6BB241F324B9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Global!$R$5:$AB$5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SEA!#REF!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3BE-47E3-B7A2-6BB241F324B9}"/>
                  </c:ext>
                </c:extLst>
              </c15:ser>
            </c15:filteredBarSeries>
          </c:ext>
        </c:extLst>
      </c:barChart>
      <c:catAx>
        <c:axId val="1138961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69983"/>
        <c:crosses val="autoZero"/>
        <c:auto val="1"/>
        <c:lblAlgn val="ctr"/>
        <c:lblOffset val="100"/>
        <c:noMultiLvlLbl val="0"/>
      </c:catAx>
      <c:valAx>
        <c:axId val="1295069983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96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0892607174103238E-2"/>
          <c:y val="0.85282599470151765"/>
          <c:w val="0.92922815119692381"/>
          <c:h val="0.104409839960556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995509163604896E-2"/>
          <c:y val="5.0925925925925923E-2"/>
          <c:w val="0.92600898167279022"/>
          <c:h val="0.697520768529931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'North America'!$AL$38</c:f>
              <c:strCache>
                <c:ptCount val="1"/>
                <c:pt idx="0">
                  <c:v>Flexible 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America'!$AM$37:$AN$37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'North America'!$AM$38:$AN$38</c:f>
              <c:numCache>
                <c:formatCode>0.00%</c:formatCode>
                <c:ptCount val="2"/>
                <c:pt idx="0">
                  <c:v>0.52909090909090906</c:v>
                </c:pt>
                <c:pt idx="1">
                  <c:v>0.52749999999999997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8-45B1-A9AC-E71D72248BD1}"/>
            </c:ext>
          </c:extLst>
        </c:ser>
        <c:ser>
          <c:idx val="1"/>
          <c:order val="1"/>
          <c:tx>
            <c:strRef>
              <c:f>'North America'!$AL$39</c:f>
              <c:strCache>
                <c:ptCount val="1"/>
                <c:pt idx="0">
                  <c:v>Flexible Circuit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America'!$AM$37:$AN$37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'North America'!$AM$39:$AN$39</c:f>
              <c:numCache>
                <c:formatCode>0.00%</c:formatCode>
                <c:ptCount val="2"/>
                <c:pt idx="0">
                  <c:v>0.47090909090909089</c:v>
                </c:pt>
                <c:pt idx="1">
                  <c:v>0.47249999999999998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8-45B1-A9AC-E71D72248BD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84420608"/>
        <c:axId val="1284417728"/>
      </c:barChart>
      <c:catAx>
        <c:axId val="128442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17728"/>
        <c:crosses val="autoZero"/>
        <c:auto val="1"/>
        <c:lblAlgn val="ctr"/>
        <c:lblOffset val="100"/>
        <c:noMultiLvlLbl val="0"/>
      </c:catAx>
      <c:valAx>
        <c:axId val="128441772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8442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746847607301442E-2"/>
          <c:y val="0.86232353598309186"/>
          <c:w val="0.98125319361949825"/>
          <c:h val="0.13244188568179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184210526315791E-2"/>
          <c:y val="5.0925925925925923E-2"/>
          <c:w val="0.92763157894736847"/>
          <c:h val="0.618872120151647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'North America'!$AL$54</c:f>
              <c:strCache>
                <c:ptCount val="1"/>
                <c:pt idx="0">
                  <c:v>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America'!$AM$53:$AN$53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'North America'!$AM$54:$AN$54</c:f>
              <c:numCache>
                <c:formatCode>0.00%</c:formatCode>
                <c:ptCount val="2"/>
                <c:pt idx="0">
                  <c:v>0.16703471074380166</c:v>
                </c:pt>
                <c:pt idx="1">
                  <c:v>0.16770000000000002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9-4837-B400-17301536369E}"/>
            </c:ext>
          </c:extLst>
        </c:ser>
        <c:ser>
          <c:idx val="1"/>
          <c:order val="1"/>
          <c:tx>
            <c:strRef>
              <c:f>'North America'!$AL$55</c:f>
              <c:strCache>
                <c:ptCount val="1"/>
                <c:pt idx="0">
                  <c:v>Military, Defense and Aerospace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America'!$AM$53:$AN$53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'North America'!$AM$55:$AN$55</c:f>
              <c:numCache>
                <c:formatCode>0.00%</c:formatCode>
                <c:ptCount val="2"/>
                <c:pt idx="0">
                  <c:v>0.12630413223140499</c:v>
                </c:pt>
                <c:pt idx="1">
                  <c:v>0.12690000000000004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29-4837-B400-17301536369E}"/>
            </c:ext>
          </c:extLst>
        </c:ser>
        <c:ser>
          <c:idx val="2"/>
          <c:order val="2"/>
          <c:tx>
            <c:strRef>
              <c:f>'North America'!$AL$56</c:f>
              <c:strCache>
                <c:ptCount val="1"/>
                <c:pt idx="0">
                  <c:v>Consumer 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America'!$AM$53:$AN$53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'North America'!$AM$56:$AN$56</c:f>
              <c:numCache>
                <c:formatCode>0.00%</c:formatCode>
                <c:ptCount val="2"/>
                <c:pt idx="0">
                  <c:v>0.24383636363636366</c:v>
                </c:pt>
                <c:pt idx="1">
                  <c:v>0.24180000000000001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7-4054-B617-9ABFF5BAAD13}"/>
            </c:ext>
          </c:extLst>
        </c:ser>
        <c:ser>
          <c:idx val="3"/>
          <c:order val="3"/>
          <c:tx>
            <c:strRef>
              <c:f>'North America'!$AL$57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America'!$AM$53:$AN$53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'North America'!$AM$57:$AN$57</c:f>
              <c:numCache>
                <c:formatCode>0.00%</c:formatCode>
                <c:ptCount val="2"/>
                <c:pt idx="0">
                  <c:v>0.11568760330578513</c:v>
                </c:pt>
                <c:pt idx="1">
                  <c:v>0.11600000000000001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17-4054-B617-9ABFF5BAAD13}"/>
            </c:ext>
          </c:extLst>
        </c:ser>
        <c:ser>
          <c:idx val="4"/>
          <c:order val="4"/>
          <c:tx>
            <c:strRef>
              <c:f>'North America'!$AL$58</c:f>
              <c:strCache>
                <c:ptCount val="1"/>
                <c:pt idx="0">
                  <c:v>Healthcare and Medical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America'!$AM$53:$AN$53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'North America'!$AM$58:$AN$58</c:f>
              <c:numCache>
                <c:formatCode>0.00%</c:formatCode>
                <c:ptCount val="2"/>
                <c:pt idx="0">
                  <c:v>0.1809487603305785</c:v>
                </c:pt>
                <c:pt idx="1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17-4054-B617-9ABFF5BAAD13}"/>
            </c:ext>
          </c:extLst>
        </c:ser>
        <c:ser>
          <c:idx val="5"/>
          <c:order val="5"/>
          <c:tx>
            <c:strRef>
              <c:f>'North America'!$AL$59</c:f>
              <c:strCache>
                <c:ptCount val="1"/>
                <c:pt idx="0">
                  <c:v>Energy and Power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America'!$AM$53:$AN$53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'North America'!$AM$59:$AN$59</c:f>
              <c:numCache>
                <c:formatCode>0.00%</c:formatCode>
                <c:ptCount val="2"/>
                <c:pt idx="0">
                  <c:v>9.907355371900825E-2</c:v>
                </c:pt>
                <c:pt idx="1">
                  <c:v>9.9599999999999994E-2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17-4054-B617-9ABFF5BAAD13}"/>
            </c:ext>
          </c:extLst>
        </c:ser>
        <c:ser>
          <c:idx val="6"/>
          <c:order val="6"/>
          <c:tx>
            <c:strRef>
              <c:f>'North America'!$AL$60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America'!$AM$53:$AN$53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'North America'!$AM$60:$AN$60</c:f>
              <c:numCache>
                <c:formatCode>0.00%</c:formatCode>
                <c:ptCount val="2"/>
                <c:pt idx="0">
                  <c:v>6.7114876033057838E-2</c:v>
                </c:pt>
                <c:pt idx="1">
                  <c:v>6.7999999999999991E-2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B-4BEF-A81C-68CB7B6D1D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0483584"/>
        <c:axId val="1230475424"/>
      </c:barChart>
      <c:catAx>
        <c:axId val="123048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475424"/>
        <c:crosses val="autoZero"/>
        <c:auto val="1"/>
        <c:lblAlgn val="ctr"/>
        <c:lblOffset val="100"/>
        <c:noMultiLvlLbl val="0"/>
      </c:catAx>
      <c:valAx>
        <c:axId val="123047542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304835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4.1075064404212443E-2"/>
          <c:y val="0.78089759963242289"/>
          <c:w val="0.92110362799862111"/>
          <c:h val="0.21190463250933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61164526683307E-2"/>
          <c:y val="4.065039349260819E-2"/>
          <c:w val="0.91990292027531151"/>
          <c:h val="0.722739611379672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'North America'!$AL$70</c:f>
              <c:strCache>
                <c:ptCount val="1"/>
                <c:pt idx="0">
                  <c:v>The U.S.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America'!$AM$69:$AN$69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'North America'!$AM$70:$AN$70</c:f>
              <c:numCache>
                <c:formatCode>0.00%</c:formatCode>
                <c:ptCount val="2"/>
                <c:pt idx="0">
                  <c:v>0.40536363636363637</c:v>
                </c:pt>
                <c:pt idx="1">
                  <c:v>0.40600000000000003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9-47BF-AA99-38C3D5C47EB5}"/>
            </c:ext>
          </c:extLst>
        </c:ser>
        <c:ser>
          <c:idx val="1"/>
          <c:order val="1"/>
          <c:tx>
            <c:strRef>
              <c:f>'North America'!$AL$71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America'!$AM$69:$AN$69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'North America'!$AM$71:$AN$71</c:f>
              <c:numCache>
                <c:formatCode>0.00%</c:formatCode>
                <c:ptCount val="2"/>
                <c:pt idx="0">
                  <c:v>0.32918181818181819</c:v>
                </c:pt>
                <c:pt idx="1">
                  <c:v>0.32600000000000001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99-47BF-AA99-38C3D5C47EB5}"/>
            </c:ext>
          </c:extLst>
        </c:ser>
        <c:ser>
          <c:idx val="2"/>
          <c:order val="2"/>
          <c:tx>
            <c:strRef>
              <c:f>'North America'!$AL$72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America'!$AM$69:$AN$69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'North America'!$AM$72:$AN$72</c:f>
              <c:numCache>
                <c:formatCode>0.00%</c:formatCode>
                <c:ptCount val="2"/>
                <c:pt idx="0">
                  <c:v>0.2654545454545455</c:v>
                </c:pt>
                <c:pt idx="1">
                  <c:v>0.26800000000000002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C-4CF3-B892-03038E3691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2725680"/>
        <c:axId val="1232699280"/>
      </c:barChart>
      <c:catAx>
        <c:axId val="123272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699280"/>
        <c:crosses val="autoZero"/>
        <c:auto val="1"/>
        <c:lblAlgn val="ctr"/>
        <c:lblOffset val="100"/>
        <c:noMultiLvlLbl val="0"/>
      </c:catAx>
      <c:valAx>
        <c:axId val="123269928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3272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6508420024139312E-2"/>
          <c:y val="0.87147177790417441"/>
          <c:w val="0.90158170009770677"/>
          <c:h val="9.9542571044564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67439307832378E-2"/>
          <c:y val="4.6874979028731646E-2"/>
          <c:w val="0.87808062128479714"/>
          <c:h val="0.630833245240024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'North America'!$Q$21</c:f>
              <c:strCache>
                <c:ptCount val="1"/>
                <c:pt idx="0">
                  <c:v>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'North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'North America'!$R$21:$AB$21</c:f>
              <c:numCache>
                <c:formatCode>_(* #,##0.00_);_(* \(#,##0.00\);_(* "-"??_);_(@_)</c:formatCode>
                <c:ptCount val="11"/>
                <c:pt idx="0">
                  <c:v>2.075188017357843</c:v>
                </c:pt>
                <c:pt idx="1">
                  <c:v>2.739349298023197</c:v>
                </c:pt>
                <c:pt idx="2">
                  <c:v>3.3516359497792747</c:v>
                </c:pt>
                <c:pt idx="3">
                  <c:v>4.5721115554925085</c:v>
                </c:pt>
                <c:pt idx="4">
                  <c:v>5.3200473086362221</c:v>
                </c:pt>
                <c:pt idx="5">
                  <c:v>5.9483649805778915</c:v>
                </c:pt>
                <c:pt idx="6">
                  <c:v>7.3145633454950731</c:v>
                </c:pt>
                <c:pt idx="7">
                  <c:v>8.6608328475316085</c:v>
                </c:pt>
                <c:pt idx="8">
                  <c:v>9.7849111950037972</c:v>
                </c:pt>
                <c:pt idx="9">
                  <c:v>10.848982867709168</c:v>
                </c:pt>
                <c:pt idx="10">
                  <c:v>11.866581993646076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4-48F5-99C1-E917F83C10AF}"/>
            </c:ext>
          </c:extLst>
        </c:ser>
        <c:ser>
          <c:idx val="1"/>
          <c:order val="1"/>
          <c:tx>
            <c:strRef>
              <c:f>'North America'!$Q$22</c:f>
              <c:strCache>
                <c:ptCount val="1"/>
                <c:pt idx="0">
                  <c:v>Military, Defense and Aerospace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'North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'North America'!$R$22:$AB$22</c:f>
              <c:numCache>
                <c:formatCode>_(* #,##0.00_);_(* \(#,##0.00\);_(* "-"??_);_(@_)</c:formatCode>
                <c:ptCount val="11"/>
                <c:pt idx="0">
                  <c:v>2.0859500630470595</c:v>
                </c:pt>
                <c:pt idx="1">
                  <c:v>2.7501678865339052</c:v>
                </c:pt>
                <c:pt idx="2">
                  <c:v>3.3625054765131113</c:v>
                </c:pt>
                <c:pt idx="3">
                  <c:v>4.5830957694431351</c:v>
                </c:pt>
                <c:pt idx="4">
                  <c:v>5.3310963427896541</c:v>
                </c:pt>
                <c:pt idx="5">
                  <c:v>5.9594661321312747</c:v>
                </c:pt>
                <c:pt idx="6">
                  <c:v>7.3257936950698266</c:v>
                </c:pt>
                <c:pt idx="7">
                  <c:v>8.672189983312828</c:v>
                </c:pt>
                <c:pt idx="8">
                  <c:v>9.79637159976361</c:v>
                </c:pt>
                <c:pt idx="9">
                  <c:v>10.860540020708775</c:v>
                </c:pt>
                <c:pt idx="10">
                  <c:v>11.87823080744761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5D24-48F5-99C1-E917F83C10AF}"/>
            </c:ext>
          </c:extLst>
        </c:ser>
        <c:ser>
          <c:idx val="2"/>
          <c:order val="2"/>
          <c:tx>
            <c:strRef>
              <c:f>'North America'!$Q$23</c:f>
              <c:strCache>
                <c:ptCount val="1"/>
                <c:pt idx="0">
                  <c:v>Consumer 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'North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'North America'!$R$23:$AB$23</c:f>
              <c:numCache>
                <c:formatCode>_(* #,##0.00_);_(* \(#,##0.00\);_(* "-"??_);_(@_)</c:formatCode>
                <c:ptCount val="11"/>
                <c:pt idx="0">
                  <c:v>1.8958754291372726</c:v>
                </c:pt>
                <c:pt idx="1">
                  <c:v>2.5587583739062225</c:v>
                </c:pt>
                <c:pt idx="2">
                  <c:v>3.1698561006697767</c:v>
                </c:pt>
                <c:pt idx="3">
                  <c:v>4.3880706801489255</c:v>
                </c:pt>
                <c:pt idx="4">
                  <c:v>5.1345745015204169</c:v>
                </c:pt>
                <c:pt idx="5">
                  <c:v>5.7616689845679581</c:v>
                </c:pt>
                <c:pt idx="6">
                  <c:v>7.1253413086238115</c:v>
                </c:pt>
                <c:pt idx="7">
                  <c:v>8.4691165000538184</c:v>
                </c:pt>
                <c:pt idx="8">
                  <c:v>9.5910894045861497</c:v>
                </c:pt>
                <c:pt idx="9">
                  <c:v>10.653158717009159</c:v>
                </c:pt>
                <c:pt idx="10">
                  <c:v>11.668834828503005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5D24-48F5-99C1-E917F83C10AF}"/>
            </c:ext>
          </c:extLst>
        </c:ser>
        <c:ser>
          <c:idx val="3"/>
          <c:order val="3"/>
          <c:tx>
            <c:strRef>
              <c:f>'North America'!$Q$24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'North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'North America'!$R$24:$AB$24</c:f>
              <c:numCache>
                <c:formatCode>_(* #,##0.00_);_(* \(#,##0.00\);_(* "-"??_);_(@_)</c:formatCode>
                <c:ptCount val="11"/>
                <c:pt idx="0">
                  <c:v>2.0564240951874924</c:v>
                </c:pt>
                <c:pt idx="1">
                  <c:v>2.7204813347750045</c:v>
                </c:pt>
                <c:pt idx="2">
                  <c:v>3.3326736700690862</c:v>
                </c:pt>
                <c:pt idx="3">
                  <c:v>4.5529436677045343</c:v>
                </c:pt>
                <c:pt idx="4">
                  <c:v>5.3007607465681783</c:v>
                </c:pt>
                <c:pt idx="5">
                  <c:v>5.9289818629751467</c:v>
                </c:pt>
                <c:pt idx="6">
                  <c:v>7.2949489992490069</c:v>
                </c:pt>
                <c:pt idx="7">
                  <c:v>8.6409913607645716</c:v>
                </c:pt>
                <c:pt idx="8">
                  <c:v>9.7648835424184011</c:v>
                </c:pt>
                <c:pt idx="9">
                  <c:v>10.828780348750788</c:v>
                </c:pt>
                <c:pt idx="10">
                  <c:v>11.846213411469542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5D24-48F5-99C1-E917F83C10AF}"/>
            </c:ext>
          </c:extLst>
        </c:ser>
        <c:ser>
          <c:idx val="4"/>
          <c:order val="4"/>
          <c:tx>
            <c:strRef>
              <c:f>'North America'!$Q$25</c:f>
              <c:strCache>
                <c:ptCount val="1"/>
                <c:pt idx="0">
                  <c:v>Healthcare and Medical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'North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'North America'!$R$25:$AB$25</c:f>
              <c:numCache>
                <c:formatCode>_(* #,##0.00_);_(* \(#,##0.00\);_(* "-"??_);_(@_)</c:formatCode>
                <c:ptCount val="11"/>
                <c:pt idx="0">
                  <c:v>1.9408226196115708</c:v>
                </c:pt>
                <c:pt idx="1">
                  <c:v>2.6040856630365372</c:v>
                </c:pt>
                <c:pt idx="2">
                  <c:v>3.2155419518346218</c:v>
                </c:pt>
                <c:pt idx="3">
                  <c:v>4.4343857720781976</c:v>
                </c:pt>
                <c:pt idx="4">
                  <c:v>5.1813115030191259</c:v>
                </c:pt>
                <c:pt idx="5">
                  <c:v>5.8087762689160272</c:v>
                </c:pt>
                <c:pt idx="6">
                  <c:v>7.1731489529971659</c:v>
                </c:pt>
                <c:pt idx="7">
                  <c:v>8.5176182546568224</c:v>
                </c:pt>
                <c:pt idx="8">
                  <c:v>9.640188521465177</c:v>
                </c:pt>
                <c:pt idx="9">
                  <c:v>10.702830552980203</c:v>
                </c:pt>
                <c:pt idx="10">
                  <c:v>11.719060669135196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5D24-48F5-99C1-E917F83C10AF}"/>
            </c:ext>
          </c:extLst>
        </c:ser>
        <c:ser>
          <c:idx val="5"/>
          <c:order val="5"/>
          <c:tx>
            <c:strRef>
              <c:f>'North America'!$Q$26</c:f>
              <c:strCache>
                <c:ptCount val="1"/>
                <c:pt idx="0">
                  <c:v>Energy and Power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'North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'North America'!$R$26:$AB$26</c:f>
              <c:numCache>
                <c:formatCode>_(* #,##0.00_);_(* \(#,##0.00\);_(* "-"??_);_(@_)</c:formatCode>
                <c:ptCount val="11"/>
                <c:pt idx="0">
                  <c:v>2.0946856398962321</c:v>
                </c:pt>
                <c:pt idx="1">
                  <c:v>2.758947682269719</c:v>
                </c:pt>
                <c:pt idx="2">
                  <c:v>3.3713249286400293</c:v>
                </c:pt>
                <c:pt idx="3">
                  <c:v>4.5920065803620735</c:v>
                </c:pt>
                <c:pt idx="4">
                  <c:v>5.3400580333382131</c:v>
                </c:pt>
                <c:pt idx="5">
                  <c:v>5.9684683838283181</c:v>
                </c:pt>
                <c:pt idx="6">
                  <c:v>7.3348989895546834</c:v>
                </c:pt>
                <c:pt idx="7">
                  <c:v>8.6813963284098961</c:v>
                </c:pt>
                <c:pt idx="8">
                  <c:v>9.8056598992146249</c:v>
                </c:pt>
                <c:pt idx="9">
                  <c:v>10.869904961661847</c:v>
                </c:pt>
                <c:pt idx="10">
                  <c:v>11.88766824131493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5D24-48F5-99C1-E917F83C10AF}"/>
            </c:ext>
          </c:extLst>
        </c:ser>
        <c:ser>
          <c:idx val="6"/>
          <c:order val="6"/>
          <c:tx>
            <c:strRef>
              <c:f>'North America'!$Q$27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'North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'North America'!$R$27:$AB$27</c:f>
              <c:numCache>
                <c:formatCode>_(* #,##0.00_);_(* \(#,##0.00\);_(* "-"??_);_(@_)</c:formatCode>
                <c:ptCount val="11"/>
                <c:pt idx="0">
                  <c:v>2.2106711218849107</c:v>
                </c:pt>
                <c:pt idx="1">
                  <c:v>2.8753780287765762</c:v>
                </c:pt>
                <c:pt idx="2">
                  <c:v>3.4881388171862815</c:v>
                </c:pt>
                <c:pt idx="3">
                  <c:v>4.7098872390235247</c:v>
                </c:pt>
                <c:pt idx="4">
                  <c:v>5.4584682212339253</c:v>
                </c:pt>
                <c:pt idx="5">
                  <c:v>6.0872708411770393</c:v>
                </c:pt>
                <c:pt idx="6">
                  <c:v>7.4549165385263017</c:v>
                </c:pt>
                <c:pt idx="7">
                  <c:v>8.8026000136234739</c:v>
                </c:pt>
                <c:pt idx="8">
                  <c:v>9.9277959655512227</c:v>
                </c:pt>
                <c:pt idx="9">
                  <c:v>10.992901597050331</c:v>
                </c:pt>
                <c:pt idx="10">
                  <c:v>12.011469167586108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B-4BEE-B22B-2C1D51A89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555711"/>
        <c:axId val="359570111"/>
        <c:extLst/>
      </c:barChart>
      <c:catAx>
        <c:axId val="359555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70111"/>
        <c:crosses val="autoZero"/>
        <c:auto val="1"/>
        <c:lblAlgn val="ctr"/>
        <c:lblOffset val="100"/>
        <c:noMultiLvlLbl val="0"/>
      </c:catAx>
      <c:valAx>
        <c:axId val="359570111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5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441844769403824E-2"/>
          <c:y val="0.79269719523956816"/>
          <c:w val="0.9458780817167487"/>
          <c:h val="0.185874270620033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1164094005763"/>
          <c:y val="4.8034934497816595E-2"/>
          <c:w val="0.86693623417478893"/>
          <c:h val="0.704715510941235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'North America'!$Q$30</c:f>
              <c:strCache>
                <c:ptCount val="1"/>
                <c:pt idx="0">
                  <c:v>The U.S.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'North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'North America'!$R$30:$AB$30</c:f>
              <c:numCache>
                <c:formatCode>_(* #,##0.00_);_(* \(#,##0.00\);_(* "-"??_);_(@_)</c:formatCode>
                <c:ptCount val="11"/>
                <c:pt idx="0">
                  <c:v>2.0399082384614964</c:v>
                </c:pt>
                <c:pt idx="1">
                  <c:v>2.7038681599751646</c:v>
                </c:pt>
                <c:pt idx="2">
                  <c:v>3.3159716819101126</c:v>
                </c:pt>
                <c:pt idx="3">
                  <c:v>4.5360547518427552</c:v>
                </c:pt>
                <c:pt idx="4">
                  <c:v>5.2837614048132142</c:v>
                </c:pt>
                <c:pt idx="5">
                  <c:v>5.9118915282100337</c:v>
                </c:pt>
                <c:pt idx="6">
                  <c:v>7.2776488316247612</c:v>
                </c:pt>
                <c:pt idx="7">
                  <c:v>8.6234848295918098</c:v>
                </c:pt>
                <c:pt idx="8">
                  <c:v>9.7472066777610991</c:v>
                </c:pt>
                <c:pt idx="9">
                  <c:v>10.810943016978403</c:v>
                </c:pt>
                <c:pt idx="10">
                  <c:v>11.828223284503213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8-4878-B5AE-C426038AA9B7}"/>
            </c:ext>
          </c:extLst>
        </c:ser>
        <c:ser>
          <c:idx val="1"/>
          <c:order val="1"/>
          <c:tx>
            <c:strRef>
              <c:f>'North America'!$Q$31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'North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'North America'!$R$31:$AB$31</c:f>
              <c:numCache>
                <c:formatCode>_(* #,##0.00_);_(* \(#,##0.00\);_(* "-"??_);_(@_)</c:formatCode>
                <c:ptCount val="11"/>
                <c:pt idx="0">
                  <c:v>1.8769140313841692</c:v>
                </c:pt>
                <c:pt idx="1">
                  <c:v>2.539624632640769</c:v>
                </c:pt>
                <c:pt idx="2">
                  <c:v>3.1505588782445804</c:v>
                </c:pt>
                <c:pt idx="3">
                  <c:v>4.368495348694057</c:v>
                </c:pt>
                <c:pt idx="4">
                  <c:v>5.1148083766648034</c:v>
                </c:pt>
                <c:pt idx="5">
                  <c:v>5.741733654263359</c:v>
                </c:pt>
                <c:pt idx="6">
                  <c:v>7.1050967656218988</c:v>
                </c:pt>
                <c:pt idx="7">
                  <c:v>8.4485649806406613</c:v>
                </c:pt>
                <c:pt idx="8">
                  <c:v>9.5702715193509711</c:v>
                </c:pt>
                <c:pt idx="9">
                  <c:v>10.632084561631871</c:v>
                </c:pt>
                <c:pt idx="10">
                  <c:v>11.647512000231863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A8-4878-B5AE-C426038AA9B7}"/>
            </c:ext>
          </c:extLst>
        </c:ser>
        <c:ser>
          <c:idx val="2"/>
          <c:order val="2"/>
          <c:tx>
            <c:strRef>
              <c:f>'North America'!$Q$32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'North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'North America'!$R$32:$AB$32</c:f>
              <c:numCache>
                <c:formatCode>_(* #,##0.00_);_(* \(#,##0.00\);_(* "-"??_);_(@_)</c:formatCode>
                <c:ptCount val="11"/>
                <c:pt idx="0">
                  <c:v>2.1575280935185015</c:v>
                </c:pt>
                <c:pt idx="1">
                  <c:v>2.822063985767187</c:v>
                </c:pt>
                <c:pt idx="2">
                  <c:v>3.4346819824446095</c:v>
                </c:pt>
                <c:pt idx="3">
                  <c:v>4.6559752677610255</c:v>
                </c:pt>
                <c:pt idx="4">
                  <c:v>5.4043471736806348</c:v>
                </c:pt>
                <c:pt idx="5">
                  <c:v>6.0330036206717175</c:v>
                </c:pt>
                <c:pt idx="6">
                  <c:v>7.4001276486458156</c:v>
                </c:pt>
                <c:pt idx="7">
                  <c:v>8.7473032483471833</c:v>
                </c:pt>
                <c:pt idx="8">
                  <c:v>9.872107590696233</c:v>
                </c:pt>
                <c:pt idx="9">
                  <c:v>10.936854758798088</c:v>
                </c:pt>
                <c:pt idx="10">
                  <c:v>11.955089876966296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86B6-45A4-816C-0DF38A632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576831"/>
        <c:axId val="35957299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Singapore!#REF!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'North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Singapore!#REF!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6B6-45A4-816C-0DF38A632E5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Singapore!#REF!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Singapore!#REF!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DBB-4736-BC4A-35C6FF88081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Singapore!#REF!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Singapore!#REF!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5E5-47E8-B6D3-81B52CCF7F1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Singapore!#REF!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Singapore!#REF!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A2C-4F06-B89B-57E7507CFB8C}"/>
                  </c:ext>
                </c:extLst>
              </c15:ser>
            </c15:filteredBarSeries>
          </c:ext>
        </c:extLst>
      </c:barChart>
      <c:catAx>
        <c:axId val="35957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72991"/>
        <c:crosses val="autoZero"/>
        <c:auto val="1"/>
        <c:lblAlgn val="ctr"/>
        <c:lblOffset val="100"/>
        <c:noMultiLvlLbl val="0"/>
      </c:catAx>
      <c:valAx>
        <c:axId val="359572991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7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346519934755237E-2"/>
          <c:y val="0.87223414546413047"/>
          <c:w val="0.8993918880066889"/>
          <c:h val="0.118688478868384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914260717410323E-2"/>
          <c:y val="5.0925944490355965E-2"/>
          <c:w val="0.84320384951881011"/>
          <c:h val="0.696043127585991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'North America'!$Q$8</c:f>
              <c:strCache>
                <c:ptCount val="1"/>
                <c:pt idx="0">
                  <c:v>Flexible 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'North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'North America'!$R$8:$AB$8</c:f>
              <c:numCache>
                <c:formatCode>_(* #,##0.00_);_(* \(#,##0.00\);_(* "-"??_);_(@_)</c:formatCode>
                <c:ptCount val="11"/>
                <c:pt idx="0">
                  <c:v>1.9732622244130971</c:v>
                </c:pt>
                <c:pt idx="1">
                  <c:v>2.6367747689590493</c:v>
                </c:pt>
                <c:pt idx="2">
                  <c:v>3.2484646010577212</c:v>
                </c:pt>
                <c:pt idx="3">
                  <c:v>4.4677364608365355</c:v>
                </c:pt>
                <c:pt idx="4">
                  <c:v>5.2149403369925018</c:v>
                </c:pt>
                <c:pt idx="5">
                  <c:v>5.842645643708444</c:v>
                </c:pt>
                <c:pt idx="6">
                  <c:v>7.207495577738765</c:v>
                </c:pt>
                <c:pt idx="7">
                  <c:v>8.5524368492768676</c:v>
                </c:pt>
                <c:pt idx="8">
                  <c:v>9.6754088979588815</c:v>
                </c:pt>
                <c:pt idx="9">
                  <c:v>10.738434365699078</c:v>
                </c:pt>
                <c:pt idx="10">
                  <c:v>11.755033858699782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9-4B88-B2DB-396F2FFAC09A}"/>
            </c:ext>
          </c:extLst>
        </c:ser>
        <c:ser>
          <c:idx val="5"/>
          <c:order val="5"/>
          <c:tx>
            <c:strRef>
              <c:f>'North America'!$Q$13</c:f>
              <c:strCache>
                <c:ptCount val="1"/>
                <c:pt idx="0">
                  <c:v>Flexible Circuit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'North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'North America'!$R$13:$AB$13</c:f>
              <c:numCache>
                <c:formatCode>_(* #,##0.00_);_(* \(#,##0.00\);_(* "-"??_);_(@_)</c:formatCode>
                <c:ptCount val="11"/>
                <c:pt idx="0">
                  <c:v>2.0663400398191589</c:v>
                </c:pt>
                <c:pt idx="1">
                  <c:v>2.7304531251103326</c:v>
                </c:pt>
                <c:pt idx="2">
                  <c:v>3.3426961748593165</c:v>
                </c:pt>
                <c:pt idx="3">
                  <c:v>4.5630757229647712</c:v>
                </c:pt>
                <c:pt idx="4">
                  <c:v>5.310956413478074</c:v>
                </c:pt>
                <c:pt idx="5">
                  <c:v>5.9392294576368521</c:v>
                </c:pt>
                <c:pt idx="6">
                  <c:v>7.3053197356264032</c:v>
                </c:pt>
                <c:pt idx="7">
                  <c:v>8.6514830973611687</c:v>
                </c:pt>
                <c:pt idx="8">
                  <c:v>9.7754746306692564</c:v>
                </c:pt>
                <c:pt idx="9">
                  <c:v>10.839464828789369</c:v>
                </c:pt>
                <c:pt idx="10">
                  <c:v>11.856986642189815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5E-4BA0-8F04-FEFAAB9A4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1516368"/>
        <c:axId val="160988414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'North America'!$Q$9</c15:sqref>
                        </c15:formulaRef>
                      </c:ext>
                    </c:extLst>
                    <c:strCache>
                      <c:ptCount val="1"/>
                      <c:pt idx="0">
                        <c:v>Flexible Displays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'North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'North America'!$R$9:$AB$9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1.7126223844581512</c:v>
                      </c:pt>
                      <c:pt idx="1">
                        <c:v>2.3735410192731621</c:v>
                      </c:pt>
                      <c:pt idx="2">
                        <c:v>2.9827531740617141</c:v>
                      </c:pt>
                      <c:pt idx="3">
                        <c:v>4.197961981266829</c:v>
                      </c:pt>
                      <c:pt idx="4">
                        <c:v>4.9422987147012876</c:v>
                      </c:pt>
                      <c:pt idx="5">
                        <c:v>5.5674284660929496</c:v>
                      </c:pt>
                      <c:pt idx="6">
                        <c:v>6.9277622762593749</c:v>
                      </c:pt>
                      <c:pt idx="7">
                        <c:v>8.268208850901182</c:v>
                      </c:pt>
                      <c:pt idx="8">
                        <c:v>9.3872387999148543</c:v>
                      </c:pt>
                      <c:pt idx="9">
                        <c:v>10.446453399159349</c:v>
                      </c:pt>
                      <c:pt idx="10">
                        <c:v>11.459338892651649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B59-4B88-B2DB-396F2FFAC09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America'!$Q$10</c15:sqref>
                        </c15:formulaRef>
                      </c:ext>
                    </c:extLst>
                    <c:strCache>
                      <c:ptCount val="1"/>
                      <c:pt idx="0">
                        <c:v>Flexible Batteries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America'!$R$10:$AB$10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2.1871789541137332</c:v>
                      </c:pt>
                      <c:pt idx="1">
                        <c:v>2.8518171015182725</c:v>
                      </c:pt>
                      <c:pt idx="2">
                        <c:v>3.4645216203657458</c:v>
                      </c:pt>
                      <c:pt idx="3">
                        <c:v>4.6860758324660301</c:v>
                      </c:pt>
                      <c:pt idx="4">
                        <c:v>5.4345713446247723</c:v>
                      </c:pt>
                      <c:pt idx="5">
                        <c:v>6.0633162914831118</c:v>
                      </c:pt>
                      <c:pt idx="6">
                        <c:v>7.430738626342448</c:v>
                      </c:pt>
                      <c:pt idx="7">
                        <c:v>8.7782049330052736</c:v>
                      </c:pt>
                      <c:pt idx="8">
                        <c:v>9.9032350991315141</c:v>
                      </c:pt>
                      <c:pt idx="9">
                        <c:v>10.968189634577353</c:v>
                      </c:pt>
                      <c:pt idx="10">
                        <c:v>11.986617640941798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B59-4B88-B2DB-396F2FFAC09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America'!$Q$11</c15:sqref>
                        </c15:formulaRef>
                      </c:ext>
                    </c:extLst>
                    <c:strCache>
                      <c:ptCount val="1"/>
                      <c:pt idx="0">
                        <c:v>Flexible Sensors 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America'!$R$11:$AB$11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2.120056281287952</c:v>
                      </c:pt>
                      <c:pt idx="1">
                        <c:v>2.7844382318774619</c:v>
                      </c:pt>
                      <c:pt idx="2">
                        <c:v>3.3969220759728413</c:v>
                      </c:pt>
                      <c:pt idx="3">
                        <c:v>4.617860274492136</c:v>
                      </c:pt>
                      <c:pt idx="4">
                        <c:v>5.3660507086333631</c:v>
                      </c:pt>
                      <c:pt idx="5">
                        <c:v>5.994570041634617</c:v>
                      </c:pt>
                      <c:pt idx="6">
                        <c:v>7.3612906722282379</c:v>
                      </c:pt>
                      <c:pt idx="7">
                        <c:v>8.7080720833842218</c:v>
                      </c:pt>
                      <c:pt idx="8">
                        <c:v>9.8325642367721464</c:v>
                      </c:pt>
                      <c:pt idx="9">
                        <c:v>10.897022358930396</c:v>
                      </c:pt>
                      <c:pt idx="10">
                        <c:v>11.914986561189455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B59-4B88-B2DB-396F2FFAC09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America'!$Q$12</c15:sqref>
                        </c15:formulaRef>
                      </c:ext>
                    </c:extLst>
                    <c:strCache>
                      <c:ptCount val="1"/>
                      <c:pt idx="0">
                        <c:v>Flexible Memory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America'!$R$12:$AB$12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2.0577748351354952</c:v>
                      </c:pt>
                      <c:pt idx="1">
                        <c:v>2.7218397959676954</c:v>
                      </c:pt>
                      <c:pt idx="2">
                        <c:v>3.3340391546009318</c:v>
                      </c:pt>
                      <c:pt idx="3">
                        <c:v>4.5543241932410439</c:v>
                      </c:pt>
                      <c:pt idx="4">
                        <c:v>5.3021500556790446</c:v>
                      </c:pt>
                      <c:pt idx="5">
                        <c:v>5.9303783647824737</c:v>
                      </c:pt>
                      <c:pt idx="6">
                        <c:v>7.2963624004118932</c:v>
                      </c:pt>
                      <c:pt idx="7">
                        <c:v>8.6424213721086893</c:v>
                      </c:pt>
                      <c:pt idx="8">
                        <c:v>9.7663272156808478</c:v>
                      </c:pt>
                      <c:pt idx="9">
                        <c:v>10.830236873635602</c:v>
                      </c:pt>
                      <c:pt idx="10">
                        <c:v>11.847682157265528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B5E-4BA0-8F04-FEFAAB9A419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America'!$Q$14</c15:sqref>
                        </c15:formulaRef>
                      </c:ext>
                    </c:extLst>
                    <c:strCache>
                      <c:ptCount val="1"/>
                      <c:pt idx="0">
                        <c:v>Single Sided Flex Circuit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America'!$R$14:$AB$14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2.0912029858704217</c:v>
                      </c:pt>
                      <c:pt idx="1">
                        <c:v>2.7554475793906574</c:v>
                      </c:pt>
                      <c:pt idx="2">
                        <c:v>3.3678091972237256</c:v>
                      </c:pt>
                      <c:pt idx="3">
                        <c:v>4.5884546125044778</c:v>
                      </c:pt>
                      <c:pt idx="4">
                        <c:v>5.3364859672157428</c:v>
                      </c:pt>
                      <c:pt idx="5">
                        <c:v>5.9648803339153345</c:v>
                      </c:pt>
                      <c:pt idx="6">
                        <c:v>7.331270055048078</c:v>
                      </c:pt>
                      <c:pt idx="7">
                        <c:v>8.6777273071805272</c:v>
                      </c:pt>
                      <c:pt idx="8">
                        <c:v>9.8019584051768582</c:v>
                      </c:pt>
                      <c:pt idx="9">
                        <c:v>10.866173114993849</c:v>
                      </c:pt>
                      <c:pt idx="10">
                        <c:v>11.883907697940055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B5E-4BA0-8F04-FEFAAB9A419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America'!$Q$15</c15:sqref>
                        </c15:formulaRef>
                      </c:ext>
                    </c:extLst>
                    <c:strCache>
                      <c:ptCount val="1"/>
                      <c:pt idx="0">
                        <c:v>Double Sided Flex Circuit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America'!$R$15:$AB$15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2.0819287123433616</c:v>
                      </c:pt>
                      <c:pt idx="1">
                        <c:v>2.7461256749485408</c:v>
                      </c:pt>
                      <c:pt idx="2">
                        <c:v>3.3584445004355201</c:v>
                      </c:pt>
                      <c:pt idx="3">
                        <c:v>4.5789922152778439</c:v>
                      </c:pt>
                      <c:pt idx="4">
                        <c:v>5.3269688442530549</c:v>
                      </c:pt>
                      <c:pt idx="5">
                        <c:v>5.9553194370350448</c:v>
                      </c:pt>
                      <c:pt idx="6">
                        <c:v>7.3215990150218735</c:v>
                      </c:pt>
                      <c:pt idx="7">
                        <c:v>8.6679482250803019</c:v>
                      </c:pt>
                      <c:pt idx="8">
                        <c:v>9.7920915520356857</c:v>
                      </c:pt>
                      <c:pt idx="9">
                        <c:v>10.856224123279956</c:v>
                      </c:pt>
                      <c:pt idx="10">
                        <c:v>11.873880964410111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B5E-4BA0-8F04-FEFAAB9A419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America'!$Q$16</c15:sqref>
                        </c15:formulaRef>
                      </c:ext>
                    </c:extLst>
                    <c:strCache>
                      <c:ptCount val="1"/>
                      <c:pt idx="0">
                        <c:v>Multilayer Flex Circuit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America'!$R$16:$AB$16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1.911218605330034</c:v>
                      </c:pt>
                      <c:pt idx="1">
                        <c:v>2.5742357953075778</c:v>
                      </c:pt>
                      <c:pt idx="2">
                        <c:v>3.185460496062964</c:v>
                      </c:pt>
                      <c:pt idx="3">
                        <c:v>4.4038946099119736</c:v>
                      </c:pt>
                      <c:pt idx="4">
                        <c:v>5.1505472436148336</c:v>
                      </c:pt>
                      <c:pt idx="5">
                        <c:v>5.7777729839968206</c:v>
                      </c:pt>
                      <c:pt idx="6">
                        <c:v>7.141689521921224</c:v>
                      </c:pt>
                      <c:pt idx="7">
                        <c:v>8.4857069399270948</c:v>
                      </c:pt>
                      <c:pt idx="8">
                        <c:v>9.6078891175538352</c:v>
                      </c:pt>
                      <c:pt idx="9">
                        <c:v>10.670159399373391</c:v>
                      </c:pt>
                      <c:pt idx="10">
                        <c:v>11.68603019928096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B5E-4BA0-8F04-FEFAAB9A4195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America'!$Q$17</c15:sqref>
                        </c15:formulaRef>
                      </c:ext>
                    </c:extLst>
                    <c:strCache>
                      <c:ptCount val="1"/>
                      <c:pt idx="0">
                        <c:v>Rigid Flex Circuit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America'!$R$17:$AB$17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2.2148599662312085</c:v>
                      </c:pt>
                      <c:pt idx="1">
                        <c:v>2.879577995788396</c:v>
                      </c:pt>
                      <c:pt idx="2">
                        <c:v>3.492347678780594</c:v>
                      </c:pt>
                      <c:pt idx="3">
                        <c:v>4.7141295701265573</c:v>
                      </c:pt>
                      <c:pt idx="4">
                        <c:v>5.4627246393742057</c:v>
                      </c:pt>
                      <c:pt idx="5">
                        <c:v>6.0915363928276456</c:v>
                      </c:pt>
                      <c:pt idx="6">
                        <c:v>7.4592207188024284</c:v>
                      </c:pt>
                      <c:pt idx="7">
                        <c:v>8.8069417034079223</c:v>
                      </c:pt>
                      <c:pt idx="8">
                        <c:v>9.9321660064287656</c:v>
                      </c:pt>
                      <c:pt idx="9">
                        <c:v>10.9972973648518</c:v>
                      </c:pt>
                      <c:pt idx="10">
                        <c:v>12.015888601836044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B5E-4BA0-8F04-FEFAAB9A4195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America'!$Q$18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America'!$R$18:$AB$18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2.1624875980783997</c:v>
                      </c:pt>
                      <c:pt idx="1">
                        <c:v>2.8270417966569372</c:v>
                      </c:pt>
                      <c:pt idx="2">
                        <c:v>3.4396754716758515</c:v>
                      </c:pt>
                      <c:pt idx="3">
                        <c:v>4.6610136314878758</c:v>
                      </c:pt>
                      <c:pt idx="4">
                        <c:v>5.4094074386031199</c:v>
                      </c:pt>
                      <c:pt idx="5">
                        <c:v>6.0380799141861008</c:v>
                      </c:pt>
                      <c:pt idx="6">
                        <c:v>7.405255117960774</c:v>
                      </c:pt>
                      <c:pt idx="7">
                        <c:v>8.7524806404405631</c:v>
                      </c:pt>
                      <c:pt idx="8">
                        <c:v>9.8773240518192686</c:v>
                      </c:pt>
                      <c:pt idx="9">
                        <c:v>10.94210720962543</c:v>
                      </c:pt>
                      <c:pt idx="10">
                        <c:v>11.960375902771681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B5E-4BA0-8F04-FEFAAB9A4195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B5E-4BA0-8F04-FEFAAB9A4195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'North America'!#REF!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B5E-4BA0-8F04-FEFAAB9A4195}"/>
                  </c:ext>
                </c:extLst>
              </c15:ser>
            </c15:filteredBarSeries>
          </c:ext>
        </c:extLst>
      </c:barChart>
      <c:catAx>
        <c:axId val="1291516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884144"/>
        <c:crosses val="autoZero"/>
        <c:auto val="1"/>
        <c:lblAlgn val="ctr"/>
        <c:lblOffset val="100"/>
        <c:noMultiLvlLbl val="0"/>
      </c:catAx>
      <c:valAx>
        <c:axId val="1609884144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51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986001749781272E-2"/>
          <c:y val="0.87827131864208929"/>
          <c:w val="0.95773845740873298"/>
          <c:h val="7.9348158683567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855072463768113E-2"/>
          <c:y val="4.8458132970920609E-2"/>
          <c:w val="0.92028985507246375"/>
          <c:h val="0.6421734957370764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Europe!$AI$63</c:f>
              <c:strCache>
                <c:ptCount val="1"/>
                <c:pt idx="0">
                  <c:v>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Europe!$AJ$62:$AK$62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Europe!$AJ$63:$AK$63</c:f>
              <c:numCache>
                <c:formatCode>0.00%</c:formatCode>
                <c:ptCount val="2"/>
                <c:pt idx="0">
                  <c:v>0.1805090909090909</c:v>
                </c:pt>
                <c:pt idx="1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8-4E8D-9028-0B1A762BEE87}"/>
            </c:ext>
          </c:extLst>
        </c:ser>
        <c:ser>
          <c:idx val="1"/>
          <c:order val="1"/>
          <c:tx>
            <c:strRef>
              <c:f>Europe!$AI$64</c:f>
              <c:strCache>
                <c:ptCount val="1"/>
                <c:pt idx="0">
                  <c:v>Military, Defense and Aerospace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Europe!$AJ$62:$AK$62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Europe!$AJ$64:$AK$64</c:f>
              <c:numCache>
                <c:formatCode>0.00%</c:formatCode>
                <c:ptCount val="2"/>
                <c:pt idx="0">
                  <c:v>0.13871818181818182</c:v>
                </c:pt>
                <c:pt idx="1">
                  <c:v>0.1391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8-4E8D-9028-0B1A762BEE87}"/>
            </c:ext>
          </c:extLst>
        </c:ser>
        <c:ser>
          <c:idx val="2"/>
          <c:order val="2"/>
          <c:tx>
            <c:strRef>
              <c:f>Europe!$AI$65</c:f>
              <c:strCache>
                <c:ptCount val="1"/>
                <c:pt idx="0">
                  <c:v>Consumer 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Europe!$AJ$62:$AK$62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Europe!$AJ$65:$AK$65</c:f>
              <c:numCache>
                <c:formatCode>0.00%</c:formatCode>
                <c:ptCount val="2"/>
                <c:pt idx="0">
                  <c:v>0.21182727272727273</c:v>
                </c:pt>
                <c:pt idx="1">
                  <c:v>0.21099999999999999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1-4FEA-A772-05874CBF8293}"/>
            </c:ext>
          </c:extLst>
        </c:ser>
        <c:ser>
          <c:idx val="3"/>
          <c:order val="3"/>
          <c:tx>
            <c:strRef>
              <c:f>Europe!$AI$66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Europe!$AJ$62:$AK$62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Europe!$AJ$66:$AK$66</c:f>
              <c:numCache>
                <c:formatCode>0.00%</c:formatCode>
                <c:ptCount val="2"/>
                <c:pt idx="0">
                  <c:v>0.12201818181818182</c:v>
                </c:pt>
                <c:pt idx="1">
                  <c:v>0.12239999999999999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21-4FEA-A772-05874CBF8293}"/>
            </c:ext>
          </c:extLst>
        </c:ser>
        <c:ser>
          <c:idx val="4"/>
          <c:order val="4"/>
          <c:tx>
            <c:strRef>
              <c:f>Europe!$AI$67</c:f>
              <c:strCache>
                <c:ptCount val="1"/>
                <c:pt idx="0">
                  <c:v>Healthcare and Medical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Europe!$AJ$62:$AK$62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Europe!$AJ$67:$AK$67</c:f>
              <c:numCache>
                <c:formatCode>0.00%</c:formatCode>
                <c:ptCount val="2"/>
                <c:pt idx="0">
                  <c:v>0.20197272727272728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21-4FEA-A772-05874CBF8293}"/>
            </c:ext>
          </c:extLst>
        </c:ser>
        <c:ser>
          <c:idx val="5"/>
          <c:order val="5"/>
          <c:tx>
            <c:strRef>
              <c:f>Europe!$AI$68</c:f>
              <c:strCache>
                <c:ptCount val="1"/>
                <c:pt idx="0">
                  <c:v>Energy and Power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Europe!$AJ$62:$AK$62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Europe!$AJ$68:$AK$68</c:f>
              <c:numCache>
                <c:formatCode>0.00%</c:formatCode>
                <c:ptCount val="2"/>
                <c:pt idx="0">
                  <c:v>7.5181818181818183E-2</c:v>
                </c:pt>
                <c:pt idx="1">
                  <c:v>7.5499999999999998E-2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21-4FEA-A772-05874CBF8293}"/>
            </c:ext>
          </c:extLst>
        </c:ser>
        <c:ser>
          <c:idx val="6"/>
          <c:order val="6"/>
          <c:tx>
            <c:strRef>
              <c:f>Europe!$AI$69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Europe!$AJ$62:$AK$62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Europe!$AJ$69:$AK$69</c:f>
              <c:numCache>
                <c:formatCode>0.00%</c:formatCode>
                <c:ptCount val="2"/>
                <c:pt idx="0">
                  <c:v>6.9772727272727278E-2</c:v>
                </c:pt>
                <c:pt idx="1">
                  <c:v>7.1999999999999995E-2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0-402E-B1BE-AC99CA742C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44225328"/>
        <c:axId val="1544224848"/>
      </c:barChart>
      <c:catAx>
        <c:axId val="154422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24848"/>
        <c:crosses val="autoZero"/>
        <c:auto val="1"/>
        <c:lblAlgn val="ctr"/>
        <c:lblOffset val="100"/>
        <c:noMultiLvlLbl val="0"/>
      </c:catAx>
      <c:valAx>
        <c:axId val="154422484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54422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670685164578945E-2"/>
          <c:y val="0.78360038849390035"/>
          <c:w val="0.96032931483542106"/>
          <c:h val="0.204460948838248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343609183148114E-2"/>
          <c:y val="5.0075866550862491E-2"/>
          <c:w val="0.92731278163370379"/>
          <c:h val="0.65285765703235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Europe!$AI$77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Europe!$AJ$76:$AK$76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Europe!$AJ$77:$AK$77</c:f>
              <c:numCache>
                <c:formatCode>0.00%</c:formatCode>
                <c:ptCount val="2"/>
                <c:pt idx="0">
                  <c:v>0.18745454545454546</c:v>
                </c:pt>
                <c:pt idx="1">
                  <c:v>0.183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1-4E34-9EE4-2795C0DA82BD}"/>
            </c:ext>
          </c:extLst>
        </c:ser>
        <c:ser>
          <c:idx val="1"/>
          <c:order val="1"/>
          <c:tx>
            <c:strRef>
              <c:f>Europe!$AI$78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Europe!$AJ$76:$AK$76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Europe!$AJ$78:$AK$78</c:f>
              <c:numCache>
                <c:formatCode>0.00%</c:formatCode>
                <c:ptCount val="2"/>
                <c:pt idx="0">
                  <c:v>0.15936363636363637</c:v>
                </c:pt>
                <c:pt idx="1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1-4E34-9EE4-2795C0DA82BD}"/>
            </c:ext>
          </c:extLst>
        </c:ser>
        <c:ser>
          <c:idx val="2"/>
          <c:order val="2"/>
          <c:tx>
            <c:strRef>
              <c:f>Europe!$AI$79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Europe!$AJ$76:$AK$76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Europe!$AJ$79:$AK$79</c:f>
              <c:numCache>
                <c:formatCode>0.00%</c:formatCode>
                <c:ptCount val="2"/>
                <c:pt idx="0">
                  <c:v>0.15972727272727275</c:v>
                </c:pt>
                <c:pt idx="1">
                  <c:v>0.1575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E-43CE-BBF9-41B5C828F554}"/>
            </c:ext>
          </c:extLst>
        </c:ser>
        <c:ser>
          <c:idx val="3"/>
          <c:order val="3"/>
          <c:tx>
            <c:strRef>
              <c:f>Europe!$AI$80</c:f>
              <c:strCache>
                <c:ptCount val="1"/>
                <c:pt idx="0">
                  <c:v>Russia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Europe!$AJ$76:$AK$76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Europe!$AJ$80:$AK$80</c:f>
              <c:numCache>
                <c:formatCode>0.00%</c:formatCode>
                <c:ptCount val="2"/>
                <c:pt idx="0">
                  <c:v>0.12287272727272727</c:v>
                </c:pt>
                <c:pt idx="1">
                  <c:v>0.12440000000000001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2-4448-8629-A19761D8FA88}"/>
            </c:ext>
          </c:extLst>
        </c:ser>
        <c:ser>
          <c:idx val="4"/>
          <c:order val="4"/>
          <c:tx>
            <c:strRef>
              <c:f>Europe!$AI$81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Europe!$AJ$76:$AK$76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Europe!$AJ$81:$AK$81</c:f>
              <c:numCache>
                <c:formatCode>0.00%</c:formatCode>
                <c:ptCount val="2"/>
                <c:pt idx="0">
                  <c:v>0.12398181818181818</c:v>
                </c:pt>
                <c:pt idx="1">
                  <c:v>0.12570000000000001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2-4448-8629-A19761D8FA88}"/>
            </c:ext>
          </c:extLst>
        </c:ser>
        <c:ser>
          <c:idx val="5"/>
          <c:order val="5"/>
          <c:tx>
            <c:strRef>
              <c:f>Europe!$AI$82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Europe!$AJ$76:$AK$76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Europe!$AJ$82:$AK$82</c:f>
              <c:numCache>
                <c:formatCode>0.00%</c:formatCode>
                <c:ptCount val="2"/>
                <c:pt idx="0">
                  <c:v>9.061818181818182E-2</c:v>
                </c:pt>
                <c:pt idx="1">
                  <c:v>9.1700000000000004E-2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2-4448-8629-A19761D8FA88}"/>
            </c:ext>
          </c:extLst>
        </c:ser>
        <c:ser>
          <c:idx val="6"/>
          <c:order val="6"/>
          <c:tx>
            <c:strRef>
              <c:f>Europe!$AI$83</c:f>
              <c:strCache>
                <c:ptCount val="1"/>
                <c:pt idx="0">
                  <c:v>Rest of Europe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Europe!$AJ$76:$AK$76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Europe!$AJ$83:$AK$83</c:f>
              <c:numCache>
                <c:formatCode>0.00%</c:formatCode>
                <c:ptCount val="2"/>
                <c:pt idx="0">
                  <c:v>0.15598181818181819</c:v>
                </c:pt>
                <c:pt idx="1">
                  <c:v>0.15770000000000001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D2-4448-8629-A19761D8FA8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44233968"/>
        <c:axId val="1544247888"/>
      </c:barChart>
      <c:catAx>
        <c:axId val="154423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47888"/>
        <c:crosses val="autoZero"/>
        <c:auto val="1"/>
        <c:lblAlgn val="ctr"/>
        <c:lblOffset val="100"/>
        <c:noMultiLvlLbl val="0"/>
      </c:catAx>
      <c:valAx>
        <c:axId val="154424788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54423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043375700313545E-2"/>
          <c:y val="0.8161937150485219"/>
          <c:w val="0.9589379352899523"/>
          <c:h val="0.157357924853931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296032325030246E-2"/>
          <c:y val="5.2989136103767556E-2"/>
          <c:w val="0.91251233651525576"/>
          <c:h val="0.712138592151057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Europe!$AI$43</c:f>
              <c:strCache>
                <c:ptCount val="1"/>
                <c:pt idx="0">
                  <c:v>Flexible 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Europe!$AJ$42:$AK$42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Europe!$AJ$43:$AK$43</c:f>
              <c:numCache>
                <c:formatCode>0.00%</c:formatCode>
                <c:ptCount val="2"/>
                <c:pt idx="0">
                  <c:v>0.53372727272727272</c:v>
                </c:pt>
                <c:pt idx="1">
                  <c:v>0.53149999999999997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F-4BA0-AF2E-A253B7EB972E}"/>
            </c:ext>
          </c:extLst>
        </c:ser>
        <c:ser>
          <c:idx val="1"/>
          <c:order val="1"/>
          <c:tx>
            <c:strRef>
              <c:f>Europe!$AI$44</c:f>
              <c:strCache>
                <c:ptCount val="1"/>
                <c:pt idx="0">
                  <c:v>Flexible Circuit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Europe!$AJ$42:$AK$42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Europe!$AJ$44:$AK$44</c:f>
              <c:numCache>
                <c:formatCode>0.00%</c:formatCode>
                <c:ptCount val="2"/>
                <c:pt idx="0">
                  <c:v>0.46627272727272728</c:v>
                </c:pt>
                <c:pt idx="1">
                  <c:v>0.46850000000000003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3F-4BA0-AF2E-A253B7EB97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94659936"/>
        <c:axId val="1294651296"/>
      </c:barChart>
      <c:catAx>
        <c:axId val="129465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51296"/>
        <c:crosses val="autoZero"/>
        <c:auto val="1"/>
        <c:lblAlgn val="ctr"/>
        <c:lblOffset val="100"/>
        <c:noMultiLvlLbl val="0"/>
      </c:catAx>
      <c:valAx>
        <c:axId val="12946512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9465993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1.5472159730033746E-2"/>
          <c:y val="0.87669350252203981"/>
          <c:w val="0.98095641169853764"/>
          <c:h val="0.123306497477960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099183342169995E-2"/>
          <c:y val="4.1371688822369336E-2"/>
          <c:w val="0.87221041119860021"/>
          <c:h val="0.654348518745888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Europe!$Q$21</c:f>
              <c:strCache>
                <c:ptCount val="1"/>
                <c:pt idx="0">
                  <c:v>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Europe!$R$5:$AB$5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Europe!$R$21:$AB$21</c:f>
              <c:numCache>
                <c:formatCode>_(* #,##0.00_);_(* \(#,##0.00\);_(* "-"??_);_(@_)</c:formatCode>
                <c:ptCount val="11"/>
                <c:pt idx="0">
                  <c:v>2.003006301600796</c:v>
                </c:pt>
                <c:pt idx="1">
                  <c:v>2.6667954756131262</c:v>
                </c:pt>
                <c:pt idx="2">
                  <c:v>3.2787481783333572</c:v>
                </c:pt>
                <c:pt idx="3">
                  <c:v>4.4984629792598652</c:v>
                </c:pt>
                <c:pt idx="4">
                  <c:v>5.2459729339360051</c:v>
                </c:pt>
                <c:pt idx="5">
                  <c:v>5.8739505841494788</c:v>
                </c:pt>
                <c:pt idx="6">
                  <c:v>7.2392929175428389</c:v>
                </c:pt>
                <c:pt idx="7">
                  <c:v>8.5847233232275055</c:v>
                </c:pt>
                <c:pt idx="8">
                  <c:v>9.7081209413151903</c:v>
                </c:pt>
                <c:pt idx="9">
                  <c:v>10.771556333729526</c:v>
                </c:pt>
                <c:pt idx="10">
                  <c:v>11.788554025574637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3-4850-B873-56C9FBAD16F8}"/>
            </c:ext>
          </c:extLst>
        </c:ser>
        <c:ser>
          <c:idx val="1"/>
          <c:order val="1"/>
          <c:tx>
            <c:strRef>
              <c:f>Europe!$Q$22</c:f>
              <c:strCache>
                <c:ptCount val="1"/>
                <c:pt idx="0">
                  <c:v>Military, Defense and Aerospace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Europe!$R$5:$AB$5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Europe!$R$22:$AB$22</c:f>
              <c:numCache>
                <c:formatCode>_(* #,##0.00_);_(* \(#,##0.00\);_(* "-"??_);_(@_)</c:formatCode>
                <c:ptCount val="11"/>
                <c:pt idx="0">
                  <c:v>2.084241798414932</c:v>
                </c:pt>
                <c:pt idx="1">
                  <c:v>2.7485603309625573</c:v>
                </c:pt>
                <c:pt idx="2">
                  <c:v>3.3610011441049803</c:v>
                </c:pt>
                <c:pt idx="3">
                  <c:v>4.5816881272192189</c:v>
                </c:pt>
                <c:pt idx="4">
                  <c:v>5.3297942297967804</c:v>
                </c:pt>
                <c:pt idx="5">
                  <c:v>5.9582728658835293</c:v>
                </c:pt>
                <c:pt idx="6">
                  <c:v>7.3247034950893131</c:v>
                </c:pt>
                <c:pt idx="7">
                  <c:v>8.6712063874919476</c:v>
                </c:pt>
                <c:pt idx="8">
                  <c:v>9.795499701377274</c:v>
                </c:pt>
                <c:pt idx="9">
                  <c:v>10.859783078812967</c:v>
                </c:pt>
                <c:pt idx="10">
                  <c:v>11.877591816162457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0453-4850-B873-56C9FBAD16F8}"/>
            </c:ext>
          </c:extLst>
        </c:ser>
        <c:ser>
          <c:idx val="2"/>
          <c:order val="2"/>
          <c:tx>
            <c:strRef>
              <c:f>Europe!$Q$23</c:f>
              <c:strCache>
                <c:ptCount val="1"/>
                <c:pt idx="0">
                  <c:v>Consumer 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Europe!$R$5:$AB$5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Europe!$R$23:$AB$23</c:f>
              <c:numCache>
                <c:formatCode>_(* #,##0.00_);_(* \(#,##0.00\);_(* "-"??_);_(@_)</c:formatCode>
                <c:ptCount val="11"/>
                <c:pt idx="0">
                  <c:v>1.9872485520633365</c:v>
                </c:pt>
                <c:pt idx="1">
                  <c:v>2.6509199593452326</c:v>
                </c:pt>
                <c:pt idx="2">
                  <c:v>3.2627626994817582</c:v>
                </c:pt>
                <c:pt idx="3">
                  <c:v>4.4822731739102339</c:v>
                </c:pt>
                <c:pt idx="4">
                  <c:v>5.2296516448560038</c:v>
                </c:pt>
                <c:pt idx="5">
                  <c:v>5.8575161203423765</c:v>
                </c:pt>
                <c:pt idx="6">
                  <c:v>7.2226304997683455</c:v>
                </c:pt>
                <c:pt idx="7">
                  <c:v>8.5678356168434888</c:v>
                </c:pt>
                <c:pt idx="8">
                  <c:v>9.6910420849364307</c:v>
                </c:pt>
                <c:pt idx="9">
                  <c:v>10.75429531024994</c:v>
                </c:pt>
                <c:pt idx="10">
                  <c:v>11.771117734631108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0453-4850-B873-56C9FBAD16F8}"/>
            </c:ext>
          </c:extLst>
        </c:ser>
        <c:ser>
          <c:idx val="3"/>
          <c:order val="3"/>
          <c:tx>
            <c:strRef>
              <c:f>Europe!$Q$24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Europe!$R$5:$AB$5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Europe!$R$24:$AB$24</c:f>
              <c:numCache>
                <c:formatCode>_(* #,##0.00_);_(* \(#,##0.00\);_(* "-"??_);_(@_)</c:formatCode>
                <c:ptCount val="11"/>
                <c:pt idx="0">
                  <c:v>2.089751977039378</c:v>
                </c:pt>
                <c:pt idx="1">
                  <c:v>2.7541017033037463</c:v>
                </c:pt>
                <c:pt idx="2">
                  <c:v>3.3665708602939048</c:v>
                </c:pt>
                <c:pt idx="3">
                  <c:v>4.5873188861182523</c:v>
                </c:pt>
                <c:pt idx="4">
                  <c:v>5.3354605041590508</c:v>
                </c:pt>
                <c:pt idx="5">
                  <c:v>5.9639681640751396</c:v>
                </c:pt>
                <c:pt idx="6">
                  <c:v>7.3304673983270785</c:v>
                </c:pt>
                <c:pt idx="7">
                  <c:v>8.677037709354396</c:v>
                </c:pt>
                <c:pt idx="8">
                  <c:v>9.8013864129666395</c:v>
                </c:pt>
                <c:pt idx="9">
                  <c:v>10.865721870489731</c:v>
                </c:pt>
                <c:pt idx="10">
                  <c:v>11.883580111029591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453-4850-B873-56C9FBAD16F8}"/>
            </c:ext>
          </c:extLst>
        </c:ser>
        <c:ser>
          <c:idx val="4"/>
          <c:order val="4"/>
          <c:tx>
            <c:strRef>
              <c:f>Europe!$Q$25</c:f>
              <c:strCache>
                <c:ptCount val="1"/>
                <c:pt idx="0">
                  <c:v>Healthcare and Medical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Europe!$R$5:$AB$5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Europe!$R$25:$AB$25</c:f>
              <c:numCache>
                <c:formatCode>_(* #,##0.00_);_(* \(#,##0.00\);_(* "-"??_);_(@_)</c:formatCode>
                <c:ptCount val="11"/>
                <c:pt idx="0">
                  <c:v>1.9024591573169713</c:v>
                </c:pt>
                <c:pt idx="1">
                  <c:v>2.5654125977198738</c:v>
                </c:pt>
                <c:pt idx="2">
                  <c:v>3.1765779597570543</c:v>
                </c:pt>
                <c:pt idx="3">
                  <c:v>4.3949003852797208</c:v>
                </c:pt>
                <c:pt idx="4">
                  <c:v>5.141481887570154</c:v>
                </c:pt>
                <c:pt idx="5">
                  <c:v>5.7686467463304192</c:v>
                </c:pt>
                <c:pt idx="6">
                  <c:v>7.1324387584509763</c:v>
                </c:pt>
                <c:pt idx="7">
                  <c:v>8.4763332405658254</c:v>
                </c:pt>
                <c:pt idx="8">
                  <c:v>9.5984115393449532</c:v>
                </c:pt>
                <c:pt idx="9">
                  <c:v>10.660583032090475</c:v>
                </c:pt>
                <c:pt idx="10">
                  <c:v>11.676358975916902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0453-4850-B873-56C9FBAD16F8}"/>
            </c:ext>
          </c:extLst>
        </c:ser>
        <c:ser>
          <c:idx val="5"/>
          <c:order val="5"/>
          <c:tx>
            <c:strRef>
              <c:f>Europe!$Q$26</c:f>
              <c:strCache>
                <c:ptCount val="1"/>
                <c:pt idx="0">
                  <c:v>Energy and Power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Europe!$R$5:$AB$5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Europe!$R$26:$AB$26</c:f>
              <c:numCache>
                <c:formatCode>_(* #,##0.00_);_(* \(#,##0.00\);_(* "-"??_);_(@_)</c:formatCode>
                <c:ptCount val="11"/>
                <c:pt idx="0">
                  <c:v>2.1058986701303573</c:v>
                </c:pt>
                <c:pt idx="1">
                  <c:v>2.7703363604346221</c:v>
                </c:pt>
                <c:pt idx="2">
                  <c:v>3.3828850993394166</c:v>
                </c:pt>
                <c:pt idx="3">
                  <c:v>4.6038084339583119</c:v>
                </c:pt>
                <c:pt idx="4">
                  <c:v>5.3520505492183679</c:v>
                </c:pt>
                <c:pt idx="5">
                  <c:v>5.9806396640676107</c:v>
                </c:pt>
                <c:pt idx="6">
                  <c:v>7.3473361608608512</c:v>
                </c:pt>
                <c:pt idx="7">
                  <c:v>8.6941001825381328</c:v>
                </c:pt>
                <c:pt idx="8">
                  <c:v>9.8186073287973343</c:v>
                </c:pt>
                <c:pt idx="9">
                  <c:v>10.883091485166752</c:v>
                </c:pt>
                <c:pt idx="10">
                  <c:v>11.901090829627158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0453-4850-B873-56C9FBAD16F8}"/>
            </c:ext>
          </c:extLst>
        </c:ser>
        <c:ser>
          <c:idx val="6"/>
          <c:order val="6"/>
          <c:tx>
            <c:strRef>
              <c:f>Europe!$Q$27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Europe!$R$5:$AB$5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Europe!$R$27:$AB$27</c:f>
              <c:numCache>
                <c:formatCode>_(* #,##0.00_);_(* \(#,##0.00\);_(* "-"??_);_(@_)</c:formatCode>
                <c:ptCount val="11"/>
                <c:pt idx="0">
                  <c:v>2.5180474031955891</c:v>
                </c:pt>
                <c:pt idx="1">
                  <c:v>3.1829991622055909</c:v>
                </c:pt>
                <c:pt idx="2">
                  <c:v>3.7958470540555345</c:v>
                </c:pt>
                <c:pt idx="3">
                  <c:v>5.0194817058385688</c:v>
                </c:pt>
                <c:pt idx="4">
                  <c:v>5.7685362331751033</c:v>
                </c:pt>
                <c:pt idx="5">
                  <c:v>6.3974565388155158</c:v>
                </c:pt>
                <c:pt idx="6">
                  <c:v>7.7673666425209342</c:v>
                </c:pt>
                <c:pt idx="7">
                  <c:v>9.1172316414974262</c:v>
                </c:pt>
                <c:pt idx="8">
                  <c:v>10.243945177875503</c:v>
                </c:pt>
                <c:pt idx="9">
                  <c:v>11.310379831335716</c:v>
                </c:pt>
                <c:pt idx="10">
                  <c:v>12.330129518761336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8-4873-86B3-FEE46D1A4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753215"/>
        <c:axId val="359736895"/>
        <c:extLst/>
      </c:barChart>
      <c:catAx>
        <c:axId val="35975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36895"/>
        <c:crosses val="autoZero"/>
        <c:auto val="1"/>
        <c:lblAlgn val="ctr"/>
        <c:lblOffset val="100"/>
        <c:noMultiLvlLbl val="0"/>
      </c:catAx>
      <c:valAx>
        <c:axId val="359736895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5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3028436591880592E-2"/>
          <c:y val="0.80821120591979767"/>
          <c:w val="0.9788341300613872"/>
          <c:h val="0.178356151966742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90069991251093"/>
          <c:y val="5.0925925925925923E-2"/>
          <c:w val="0.8595437445319335"/>
          <c:h val="0.67658721713839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Europe!$Q$30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Europe!$R$5:$AB$5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Europe!$R$30:$AB$30</c:f>
              <c:numCache>
                <c:formatCode>_(* #,##0.00_);_(* \(#,##0.00\);_(* "-"??_);_(@_)</c:formatCode>
                <c:ptCount val="11"/>
                <c:pt idx="0">
                  <c:v>1.7022794462119517</c:v>
                </c:pt>
                <c:pt idx="1">
                  <c:v>2.3629721832443273</c:v>
                </c:pt>
                <c:pt idx="2">
                  <c:v>2.9719598613022757</c:v>
                </c:pt>
                <c:pt idx="3">
                  <c:v>4.1868758174973042</c:v>
                </c:pt>
                <c:pt idx="4">
                  <c:v>4.9309646444442246</c:v>
                </c:pt>
                <c:pt idx="5">
                  <c:v>5.5558550792156991</c:v>
                </c:pt>
                <c:pt idx="6">
                  <c:v>6.9158636009015284</c:v>
                </c:pt>
                <c:pt idx="7">
                  <c:v>8.2559804528915759</c:v>
                </c:pt>
                <c:pt idx="8">
                  <c:v>9.3746993331486941</c:v>
                </c:pt>
                <c:pt idx="9">
                  <c:v>10.43360373608726</c:v>
                </c:pt>
                <c:pt idx="10">
                  <c:v>11.446178520176197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A-4C0D-8CD7-0F069FB3EBEE}"/>
            </c:ext>
          </c:extLst>
        </c:ser>
        <c:ser>
          <c:idx val="1"/>
          <c:order val="1"/>
          <c:tx>
            <c:strRef>
              <c:f>Europe!$Q$31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Europe!$R$5:$AB$5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Europe!$R$31:$AB$31</c:f>
              <c:numCache>
                <c:formatCode>_(* #,##0.00_);_(* \(#,##0.00\);_(* "-"??_);_(@_)</c:formatCode>
                <c:ptCount val="11"/>
                <c:pt idx="0">
                  <c:v>2.1023980164840639</c:v>
                </c:pt>
                <c:pt idx="1">
                  <c:v>2.7668170718494478</c:v>
                </c:pt>
                <c:pt idx="2">
                  <c:v>3.3793489968599877</c:v>
                </c:pt>
                <c:pt idx="3">
                  <c:v>4.6002347751669115</c:v>
                </c:pt>
                <c:pt idx="4">
                  <c:v>5.3484555543612533</c:v>
                </c:pt>
                <c:pt idx="5">
                  <c:v>5.9770274638906828</c:v>
                </c:pt>
                <c:pt idx="6">
                  <c:v>7.3436816703612795</c:v>
                </c:pt>
                <c:pt idx="7">
                  <c:v>8.6904041811264108</c:v>
                </c:pt>
                <c:pt idx="8">
                  <c:v>9.8148774649493564</c:v>
                </c:pt>
                <c:pt idx="9">
                  <c:v>10.879329876939646</c:v>
                </c:pt>
                <c:pt idx="10">
                  <c:v>11.897299128978966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A-4C0D-8CD7-0F069FB3EBEE}"/>
            </c:ext>
          </c:extLst>
        </c:ser>
        <c:ser>
          <c:idx val="2"/>
          <c:order val="2"/>
          <c:tx>
            <c:strRef>
              <c:f>Europe!$Q$32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Europe!$R$5:$AB$5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Europe!$R$32:$AB$32</c:f>
              <c:numCache>
                <c:formatCode>_(* #,##0.00_);_(* \(#,##0.00\);_(* "-"??_);_(@_)</c:formatCode>
                <c:ptCount val="11"/>
                <c:pt idx="0">
                  <c:v>1.8423856985539055</c:v>
                </c:pt>
                <c:pt idx="1">
                  <c:v>2.5047442845911982</c:v>
                </c:pt>
                <c:pt idx="2">
                  <c:v>3.1153418395206023</c:v>
                </c:pt>
                <c:pt idx="3">
                  <c:v>4.332731376372001</c:v>
                </c:pt>
                <c:pt idx="4">
                  <c:v>5.0786558849941876</c:v>
                </c:pt>
                <c:pt idx="5">
                  <c:v>5.7052312307944053</c:v>
                </c:pt>
                <c:pt idx="6">
                  <c:v>7.0679869070735091</c:v>
                </c:pt>
                <c:pt idx="7">
                  <c:v>8.4108503535755386</c:v>
                </c:pt>
                <c:pt idx="8">
                  <c:v>9.53202529553967</c:v>
                </c:pt>
                <c:pt idx="9">
                  <c:v>10.593324030751084</c:v>
                </c:pt>
                <c:pt idx="10">
                  <c:v>11.608249906178546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838-469A-910F-1A919AB11D72}"/>
            </c:ext>
          </c:extLst>
        </c:ser>
        <c:ser>
          <c:idx val="3"/>
          <c:order val="3"/>
          <c:tx>
            <c:strRef>
              <c:f>Europe!$Q$33</c:f>
              <c:strCache>
                <c:ptCount val="1"/>
                <c:pt idx="0">
                  <c:v>Russia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Europe!$R$5:$AB$5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Europe!$R$33:$AB$33</c:f>
              <c:numCache>
                <c:formatCode>_(* #,##0.00_);_(* \(#,##0.00\);_(* "-"??_);_(@_)</c:formatCode>
                <c:ptCount val="11"/>
                <c:pt idx="0">
                  <c:v>2.2265468807701527</c:v>
                </c:pt>
                <c:pt idx="1">
                  <c:v>2.8914795135732918</c:v>
                </c:pt>
                <c:pt idx="2">
                  <c:v>3.5044595536081635</c:v>
                </c:pt>
                <c:pt idx="3">
                  <c:v>4.7265255954201502</c:v>
                </c:pt>
                <c:pt idx="4">
                  <c:v>5.4753515081078286</c:v>
                </c:pt>
                <c:pt idx="5">
                  <c:v>6.104381678532067</c:v>
                </c:pt>
                <c:pt idx="6">
                  <c:v>7.4723766386588508</c:v>
                </c:pt>
                <c:pt idx="7">
                  <c:v>8.8204095468453545</c:v>
                </c:pt>
                <c:pt idx="8">
                  <c:v>9.9459216467079781</c:v>
                </c:pt>
                <c:pt idx="9">
                  <c:v>11.011336321438293</c:v>
                </c:pt>
                <c:pt idx="10">
                  <c:v>12.03020789020648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C838-469A-910F-1A919AB11D72}"/>
            </c:ext>
          </c:extLst>
        </c:ser>
        <c:ser>
          <c:idx val="4"/>
          <c:order val="4"/>
          <c:tx>
            <c:strRef>
              <c:f>Europe!$Q$34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Europe!$R$5:$AB$5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Europe!$R$34:$AB$34</c:f>
              <c:numCache>
                <c:formatCode>_(* #,##0.00_);_(* \(#,##0.00\);_(* "-"??_);_(@_)</c:formatCode>
                <c:ptCount val="11"/>
                <c:pt idx="0">
                  <c:v>2.2476893731040448</c:v>
                </c:pt>
                <c:pt idx="1">
                  <c:v>2.912679300676535</c:v>
                </c:pt>
                <c:pt idx="2">
                  <c:v>3.5257053907369107</c:v>
                </c:pt>
                <c:pt idx="3">
                  <c:v>4.7479415417477133</c:v>
                </c:pt>
                <c:pt idx="4">
                  <c:v>5.4968397271390135</c:v>
                </c:pt>
                <c:pt idx="5">
                  <c:v>6.1259171653172961</c:v>
                </c:pt>
                <c:pt idx="6">
                  <c:v>7.4941083143603704</c:v>
                </c:pt>
                <c:pt idx="7">
                  <c:v>8.842331777897261</c:v>
                </c:pt>
                <c:pt idx="8">
                  <c:v>9.9679882040596635</c:v>
                </c:pt>
                <c:pt idx="9">
                  <c:v>11.033533965078558</c:v>
                </c:pt>
                <c:pt idx="10">
                  <c:v>12.052526224645677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2AB-408A-80F5-189B8A9FFB54}"/>
            </c:ext>
          </c:extLst>
        </c:ser>
        <c:ser>
          <c:idx val="5"/>
          <c:order val="5"/>
          <c:tx>
            <c:strRef>
              <c:f>Europe!$Q$35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Europe!$R$5:$AB$5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Europe!$R$35:$AB$35</c:f>
              <c:numCache>
                <c:formatCode>_(* #,##0.00_);_(* \(#,##0.00\);_(* "-"??_);_(@_)</c:formatCode>
                <c:ptCount val="11"/>
                <c:pt idx="0">
                  <c:v>2.2192809521181855</c:v>
                </c:pt>
                <c:pt idx="1">
                  <c:v>2.8841918699371805</c:v>
                </c:pt>
                <c:pt idx="2">
                  <c:v>3.4971540575582383</c:v>
                </c:pt>
                <c:pt idx="3">
                  <c:v>4.7191595749284998</c:v>
                </c:pt>
                <c:pt idx="4">
                  <c:v>5.4679585980240253</c:v>
                </c:pt>
                <c:pt idx="5">
                  <c:v>6.0969704773105926</c:v>
                </c:pt>
                <c:pt idx="6">
                  <c:v>7.4648958807406407</c:v>
                </c:pt>
                <c:pt idx="7">
                  <c:v>8.8128611421619318</c:v>
                </c:pt>
                <c:pt idx="8">
                  <c:v>9.9383214888049132</c:v>
                </c:pt>
                <c:pt idx="9">
                  <c:v>11.003688951753809</c:v>
                </c:pt>
                <c:pt idx="10">
                  <c:v>12.022516873721734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B1F-48B6-8AE6-E454F105FE9C}"/>
            </c:ext>
          </c:extLst>
        </c:ser>
        <c:ser>
          <c:idx val="6"/>
          <c:order val="6"/>
          <c:tx>
            <c:strRef>
              <c:f>Europe!$Q$36</c:f>
              <c:strCache>
                <c:ptCount val="1"/>
                <c:pt idx="0">
                  <c:v>Rest of Europe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Europe!$R$5:$AB$5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Europe!$R$36:$AB$36</c:f>
              <c:numCache>
                <c:formatCode>_(* #,##0.00_);_(* \(#,##0.00\);_(* "-"??_);_(@_)</c:formatCode>
                <c:ptCount val="11"/>
                <c:pt idx="0">
                  <c:v>2.2056484783308017</c:v>
                </c:pt>
                <c:pt idx="1">
                  <c:v>2.8705158582650103</c:v>
                </c:pt>
                <c:pt idx="2">
                  <c:v>3.4834417501800496</c:v>
                </c:pt>
                <c:pt idx="3">
                  <c:v>4.7053308559891427</c:v>
                </c:pt>
                <c:pt idx="4">
                  <c:v>5.4540765880035647</c:v>
                </c:pt>
                <c:pt idx="5">
                  <c:v>6.0830513136061803</c:v>
                </c:pt>
                <c:pt idx="6">
                  <c:v>7.4508432558261006</c:v>
                </c:pt>
                <c:pt idx="7">
                  <c:v>8.7986786009648821</c:v>
                </c:pt>
                <c:pt idx="8">
                  <c:v>9.9240388573782923</c:v>
                </c:pt>
                <c:pt idx="9">
                  <c:v>10.989314736438494</c:v>
                </c:pt>
                <c:pt idx="10">
                  <c:v>12.008057750338242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448D-4A95-8D4F-C952A4A06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739295"/>
        <c:axId val="359762335"/>
        <c:extLst/>
      </c:barChart>
      <c:catAx>
        <c:axId val="359739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62335"/>
        <c:crosses val="autoZero"/>
        <c:auto val="1"/>
        <c:lblAlgn val="ctr"/>
        <c:lblOffset val="100"/>
        <c:noMultiLvlLbl val="0"/>
      </c:catAx>
      <c:valAx>
        <c:axId val="359762335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3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294588047681417E-2"/>
          <c:y val="0.80107889662234966"/>
          <c:w val="0.95666583096710345"/>
          <c:h val="0.169091561259444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914282421706156E-2"/>
          <c:y val="4.2037080651940277E-2"/>
          <c:w val="0.84320384951881011"/>
          <c:h val="0.694720192031594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Europe!$Q$8</c:f>
              <c:strCache>
                <c:ptCount val="1"/>
                <c:pt idx="0">
                  <c:v>Flexible 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Europe!$R$5:$AB$5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Europe!$R$8:$AB$8</c:f>
              <c:numCache>
                <c:formatCode>_(* #,##0.00_);_(* \(#,##0.00\);_(* "-"??_);_(@_)</c:formatCode>
                <c:ptCount val="11"/>
                <c:pt idx="0">
                  <c:v>1.9833648870474896</c:v>
                </c:pt>
                <c:pt idx="1">
                  <c:v>2.6470065159039713</c:v>
                </c:pt>
                <c:pt idx="2">
                  <c:v>3.258821389687383</c:v>
                </c:pt>
                <c:pt idx="3">
                  <c:v>4.4782807159555071</c:v>
                </c:pt>
                <c:pt idx="4">
                  <c:v>5.2256259850974374</c:v>
                </c:pt>
                <c:pt idx="5">
                  <c:v>5.8534617621224028</c:v>
                </c:pt>
                <c:pt idx="6">
                  <c:v>7.2185191099976453</c:v>
                </c:pt>
                <c:pt idx="7">
                  <c:v>8.5636678305835101</c:v>
                </c:pt>
                <c:pt idx="8">
                  <c:v>9.6868263065110085</c:v>
                </c:pt>
                <c:pt idx="9">
                  <c:v>10.750033738157505</c:v>
                </c:pt>
                <c:pt idx="10">
                  <c:v>11.766812054193432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3-410C-898F-097AEEE6C423}"/>
            </c:ext>
          </c:extLst>
        </c:ser>
        <c:ser>
          <c:idx val="5"/>
          <c:order val="5"/>
          <c:tx>
            <c:strRef>
              <c:f>Europe!$Q$13</c:f>
              <c:strCache>
                <c:ptCount val="1"/>
                <c:pt idx="0">
                  <c:v>Flexible Circuit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Europe!$R$5:$AB$5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Europe!$R$13:$AB$13</c:f>
              <c:numCache>
                <c:formatCode>_(* #,##0.00_);_(* \(#,##0.00\);_(* "-"??_);_(@_)</c:formatCode>
                <c:ptCount val="11"/>
                <c:pt idx="0">
                  <c:v>2.113878654786383</c:v>
                </c:pt>
                <c:pt idx="1">
                  <c:v>2.7783579227725452</c:v>
                </c:pt>
                <c:pt idx="2">
                  <c:v>3.3909440807809554</c:v>
                </c:pt>
                <c:pt idx="3">
                  <c:v>4.6119520950027804</c:v>
                </c:pt>
                <c:pt idx="4">
                  <c:v>5.360241913336794</c:v>
                </c:pt>
                <c:pt idx="5">
                  <c:v>5.9888693105821345</c:v>
                </c:pt>
                <c:pt idx="6">
                  <c:v>7.3556612268353527</c:v>
                </c:pt>
                <c:pt idx="7">
                  <c:v>8.7025188723963041</c:v>
                </c:pt>
                <c:pt idx="8">
                  <c:v>9.8271022031001678</c:v>
                </c:pt>
                <c:pt idx="9">
                  <c:v>10.891657704621128</c:v>
                </c:pt>
                <c:pt idx="10">
                  <c:v>11.909724617899254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B9-4475-8A69-B83AC2573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2820320"/>
        <c:axId val="168957464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Europe!$Q$9</c15:sqref>
                        </c15:formulaRef>
                      </c:ext>
                    </c:extLst>
                    <c:strCache>
                      <c:ptCount val="1"/>
                      <c:pt idx="0">
                        <c:v>Flexible Displays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Europe!$R$5:$AB$5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Europe!$R$9:$AB$9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1.8783978575703797</c:v>
                      </c:pt>
                      <c:pt idx="1">
                        <c:v>2.541121629639953</c:v>
                      </c:pt>
                      <c:pt idx="2">
                        <c:v>3.152068345638126</c:v>
                      </c:pt>
                      <c:pt idx="3">
                        <c:v>4.3700262440510507</c:v>
                      </c:pt>
                      <c:pt idx="4">
                        <c:v>5.1163538620705662</c:v>
                      </c:pt>
                      <c:pt idx="5">
                        <c:v>5.7432920341835558</c:v>
                      </c:pt>
                      <c:pt idx="6">
                        <c:v>7.1066789750119375</c:v>
                      </c:pt>
                      <c:pt idx="7">
                        <c:v>8.4501708326639289</c:v>
                      </c:pt>
                      <c:pt idx="8">
                        <c:v>9.5718978293693358</c:v>
                      </c:pt>
                      <c:pt idx="9">
                        <c:v>10.633730530337182</c:v>
                      </c:pt>
                      <c:pt idx="10">
                        <c:v>11.649177023855906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DE3-410C-898F-097AEEE6C42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Europe!$Q$10</c15:sqref>
                        </c15:formulaRef>
                      </c:ext>
                    </c:extLst>
                    <c:strCache>
                      <c:ptCount val="1"/>
                      <c:pt idx="0">
                        <c:v>Flexible Batteries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Europe!$R$10:$AB$10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1.9604796254186763</c:v>
                      </c:pt>
                      <c:pt idx="1">
                        <c:v>2.6239397246177187</c:v>
                      </c:pt>
                      <c:pt idx="2">
                        <c:v>3.2355842397790546</c:v>
                      </c:pt>
                      <c:pt idx="3">
                        <c:v>4.4547358100888612</c:v>
                      </c:pt>
                      <c:pt idx="4">
                        <c:v>5.2018790179521934</c:v>
                      </c:pt>
                      <c:pt idx="5">
                        <c:v>5.8295391918635087</c:v>
                      </c:pt>
                      <c:pt idx="6">
                        <c:v>7.1942536143787761</c:v>
                      </c:pt>
                      <c:pt idx="7">
                        <c:v>8.5390629701089118</c:v>
                      </c:pt>
                      <c:pt idx="8">
                        <c:v>9.661931522823064</c:v>
                      </c:pt>
                      <c:pt idx="9">
                        <c:v>10.724861855930069</c:v>
                      </c:pt>
                      <c:pt idx="10">
                        <c:v>11.741372876063917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DE3-410C-898F-097AEEE6C42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Europe!$Q$11</c15:sqref>
                        </c15:formulaRef>
                      </c:ext>
                    </c:extLst>
                    <c:strCache>
                      <c:ptCount val="1"/>
                      <c:pt idx="0">
                        <c:v>Flexible Sensors 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Europe!$R$11:$AB$11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2.0777873605466013</c:v>
                      </c:pt>
                      <c:pt idx="1">
                        <c:v>2.7420685930114042</c:v>
                      </c:pt>
                      <c:pt idx="2">
                        <c:v>3.3544754370338881</c:v>
                      </c:pt>
                      <c:pt idx="3">
                        <c:v>4.575090127950876</c:v>
                      </c:pt>
                      <c:pt idx="4">
                        <c:v>5.3231538378701426</c:v>
                      </c:pt>
                      <c:pt idx="5">
                        <c:v>5.9515976806135074</c:v>
                      </c:pt>
                      <c:pt idx="6">
                        <c:v>7.3179471123860473</c:v>
                      </c:pt>
                      <c:pt idx="7">
                        <c:v>8.6643701799777659</c:v>
                      </c:pt>
                      <c:pt idx="8">
                        <c:v>9.788597754572482</c:v>
                      </c:pt>
                      <c:pt idx="9">
                        <c:v>10.852819258992707</c:v>
                      </c:pt>
                      <c:pt idx="10">
                        <c:v>11.870569131658204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DE3-410C-898F-097AEEE6C42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Europe!$Q$12</c15:sqref>
                        </c15:formulaRef>
                      </c:ext>
                    </c:extLst>
                    <c:strCache>
                      <c:ptCount val="1"/>
                      <c:pt idx="0">
                        <c:v>Flexible Memory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Europe!$R$12:$AB$12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2.0953064529280807</c:v>
                      </c:pt>
                      <c:pt idx="1">
                        <c:v>2.7596870183024702</c:v>
                      </c:pt>
                      <c:pt idx="2">
                        <c:v>3.3721841360408122</c:v>
                      </c:pt>
                      <c:pt idx="3">
                        <c:v>4.5929930680673969</c:v>
                      </c:pt>
                      <c:pt idx="4">
                        <c:v>5.3411698582955136</c:v>
                      </c:pt>
                      <c:pt idx="5">
                        <c:v>5.9697061430021181</c:v>
                      </c:pt>
                      <c:pt idx="6">
                        <c:v>7.3362738698894203</c:v>
                      </c:pt>
                      <c:pt idx="7">
                        <c:v>8.6829114642172023</c:v>
                      </c:pt>
                      <c:pt idx="8">
                        <c:v>9.8073153220045626</c:v>
                      </c:pt>
                      <c:pt idx="9">
                        <c:v>10.87170258932446</c:v>
                      </c:pt>
                      <c:pt idx="10">
                        <c:v>11.889610034211229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EB9-4475-8A69-B83AC2573F0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Europe!$Q$14</c15:sqref>
                        </c15:formulaRef>
                      </c:ext>
                    </c:extLst>
                    <c:strCache>
                      <c:ptCount val="1"/>
                      <c:pt idx="0">
                        <c:v>Single Sided Flex Circuit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Europe!$R$14:$AB$14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2.1247210252429705</c:v>
                      </c:pt>
                      <c:pt idx="1">
                        <c:v>2.7892547759024611</c:v>
                      </c:pt>
                      <c:pt idx="2">
                        <c:v>3.4018897507866797</c:v>
                      </c:pt>
                      <c:pt idx="3">
                        <c:v>4.6230107435524248</c:v>
                      </c:pt>
                      <c:pt idx="4">
                        <c:v>5.3713632984923487</c:v>
                      </c:pt>
                      <c:pt idx="5">
                        <c:v>6.0000406237231241</c:v>
                      </c:pt>
                      <c:pt idx="6">
                        <c:v>7.3669599985159095</c:v>
                      </c:pt>
                      <c:pt idx="7">
                        <c:v>8.713942621982774</c:v>
                      </c:pt>
                      <c:pt idx="8">
                        <c:v>9.8386272273163655</c:v>
                      </c:pt>
                      <c:pt idx="9">
                        <c:v>10.903277404773814</c:v>
                      </c:pt>
                      <c:pt idx="10">
                        <c:v>11.921433840555796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EB9-4475-8A69-B83AC2573F0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Europe!$Q$15</c15:sqref>
                        </c15:formulaRef>
                      </c:ext>
                    </c:extLst>
                    <c:strCache>
                      <c:ptCount val="1"/>
                      <c:pt idx="0">
                        <c:v>Double Sided Flex Circuit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Europe!$R$15:$AB$15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2.0899782056928329</c:v>
                      </c:pt>
                      <c:pt idx="1">
                        <c:v>2.754329199878347</c:v>
                      </c:pt>
                      <c:pt idx="2">
                        <c:v>3.3667995076648083</c:v>
                      </c:pt>
                      <c:pt idx="3">
                        <c:v>4.5875500264411562</c:v>
                      </c:pt>
                      <c:pt idx="4">
                        <c:v>5.335693089340432</c:v>
                      </c:pt>
                      <c:pt idx="5">
                        <c:v>5.964201927514301</c:v>
                      </c:pt>
                      <c:pt idx="6">
                        <c:v>7.3307039644220362</c:v>
                      </c:pt>
                      <c:pt idx="7">
                        <c:v>8.6772770291108525</c:v>
                      </c:pt>
                      <c:pt idx="8">
                        <c:v>9.8016279924441729</c:v>
                      </c:pt>
                      <c:pt idx="9">
                        <c:v>10.865965573632819</c:v>
                      </c:pt>
                      <c:pt idx="10">
                        <c:v>11.883825831872819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EB9-4475-8A69-B83AC2573F0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Europe!$Q$16</c15:sqref>
                        </c15:formulaRef>
                      </c:ext>
                    </c:extLst>
                    <c:strCache>
                      <c:ptCount val="1"/>
                      <c:pt idx="0">
                        <c:v>Multilayer Flex Circuit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Europe!$R$16:$AB$16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1.997670128232909</c:v>
                      </c:pt>
                      <c:pt idx="1">
                        <c:v>2.6614199712472031</c:v>
                      </c:pt>
                      <c:pt idx="2">
                        <c:v>3.2733359938631246</c:v>
                      </c:pt>
                      <c:pt idx="3">
                        <c:v>4.4929821774023715</c:v>
                      </c:pt>
                      <c:pt idx="4">
                        <c:v>5.2404481866106023</c:v>
                      </c:pt>
                      <c:pt idx="5">
                        <c:v>5.8683880979515379</c:v>
                      </c:pt>
                      <c:pt idx="6">
                        <c:v>7.2336538561225572</c:v>
                      </c:pt>
                      <c:pt idx="7">
                        <c:v>8.579008604910987</c:v>
                      </c:pt>
                      <c:pt idx="8">
                        <c:v>9.702342133474783</c:v>
                      </c:pt>
                      <c:pt idx="9">
                        <c:v>10.765716489368526</c:v>
                      </c:pt>
                      <c:pt idx="10">
                        <c:v>11.782655492028905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EB9-4475-8A69-B83AC2573F04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Europe!$Q$17</c15:sqref>
                        </c15:formulaRef>
                      </c:ext>
                    </c:extLst>
                    <c:strCache>
                      <c:ptCount val="1"/>
                      <c:pt idx="0">
                        <c:v>Rigid Flex Circuit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Europe!$R$17:$AB$17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2.2219637209323517</c:v>
                      </c:pt>
                      <c:pt idx="1">
                        <c:v>2.8868827771276306</c:v>
                      </c:pt>
                      <c:pt idx="2">
                        <c:v>3.4998516771349131</c:v>
                      </c:pt>
                      <c:pt idx="3">
                        <c:v>4.7218796647898076</c:v>
                      </c:pt>
                      <c:pt idx="4">
                        <c:v>5.4706887386649861</c:v>
                      </c:pt>
                      <c:pt idx="5">
                        <c:v>6.0997074937134466</c:v>
                      </c:pt>
                      <c:pt idx="6">
                        <c:v>7.4676587067027178</c:v>
                      </c:pt>
                      <c:pt idx="7">
                        <c:v>8.815649074108256</c:v>
                      </c:pt>
                      <c:pt idx="8">
                        <c:v>9.9411286581166927</c:v>
                      </c:pt>
                      <c:pt idx="9">
                        <c:v>11.006513682195296</c:v>
                      </c:pt>
                      <c:pt idx="10">
                        <c:v>12.025357849524386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EB9-4475-8A69-B83AC2573F04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Europe!$Q$18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Europe!$R$18:$AB$18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2.2428409068169675</c:v>
                      </c:pt>
                      <c:pt idx="1">
                        <c:v>2.9078184701376575</c:v>
                      </c:pt>
                      <c:pt idx="2">
                        <c:v>3.5208347749806412</c:v>
                      </c:pt>
                      <c:pt idx="3">
                        <c:v>4.7430327050134391</c:v>
                      </c:pt>
                      <c:pt idx="4">
                        <c:v>5.4919151007075007</c:v>
                      </c:pt>
                      <c:pt idx="5">
                        <c:v>6.1209824810886326</c:v>
                      </c:pt>
                      <c:pt idx="6">
                        <c:v>7.4891294539925601</c:v>
                      </c:pt>
                      <c:pt idx="7">
                        <c:v>8.8373100429174336</c:v>
                      </c:pt>
                      <c:pt idx="8">
                        <c:v>9.9629341931114936</c:v>
                      </c:pt>
                      <c:pt idx="9">
                        <c:v>11.028450717359517</c:v>
                      </c:pt>
                      <c:pt idx="10">
                        <c:v>12.047416126616195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EB9-4475-8A69-B83AC2573F04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EB9-4475-8A69-B83AC2573F04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Europe!#REF!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EB9-4475-8A69-B83AC2573F04}"/>
                  </c:ext>
                </c:extLst>
              </c15:ser>
            </c15:filteredBarSeries>
          </c:ext>
        </c:extLst>
      </c:barChart>
      <c:catAx>
        <c:axId val="86282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574640"/>
        <c:crosses val="autoZero"/>
        <c:auto val="1"/>
        <c:lblAlgn val="ctr"/>
        <c:lblOffset val="100"/>
        <c:noMultiLvlLbl val="0"/>
      </c:catAx>
      <c:valAx>
        <c:axId val="1689574640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2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01106234198946E-2"/>
          <c:y val="0.86723602374651154"/>
          <c:w val="0.89458670000145746"/>
          <c:h val="0.108908195149137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572245371152441E-2"/>
          <c:y val="1.0865540220305742E-2"/>
          <c:w val="0.92794761064064735"/>
          <c:h val="0.6744276757072031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'Asia-Pacific'!$AI$66</c:f>
              <c:strCache>
                <c:ptCount val="1"/>
                <c:pt idx="0">
                  <c:v>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'Asia-Pacific'!$AJ$65:$AK$65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'Asia-Pacific'!$AJ$66:$AK$66</c:f>
              <c:numCache>
                <c:formatCode>0.00%</c:formatCode>
                <c:ptCount val="2"/>
                <c:pt idx="0">
                  <c:v>0.16681818181818181</c:v>
                </c:pt>
                <c:pt idx="1">
                  <c:v>0.16719999999999999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A-4F9E-8254-E7F44822B473}"/>
            </c:ext>
          </c:extLst>
        </c:ser>
        <c:ser>
          <c:idx val="1"/>
          <c:order val="1"/>
          <c:tx>
            <c:strRef>
              <c:f>'Asia-Pacific'!$AI$67</c:f>
              <c:strCache>
                <c:ptCount val="1"/>
                <c:pt idx="0">
                  <c:v>Military, Defense and Aerospace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'Asia-Pacific'!$AJ$65:$AK$65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'Asia-Pacific'!$AJ$67:$AK$67</c:f>
              <c:numCache>
                <c:formatCode>0.00%</c:formatCode>
                <c:ptCount val="2"/>
                <c:pt idx="0">
                  <c:v>0.12605454545454545</c:v>
                </c:pt>
                <c:pt idx="1">
                  <c:v>0.1265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A-4F9E-8254-E7F44822B473}"/>
            </c:ext>
          </c:extLst>
        </c:ser>
        <c:ser>
          <c:idx val="2"/>
          <c:order val="2"/>
          <c:tx>
            <c:strRef>
              <c:f>'Asia-Pacific'!$AI$68</c:f>
              <c:strCache>
                <c:ptCount val="1"/>
                <c:pt idx="0">
                  <c:v>Consumer 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'Asia-Pacific'!$AJ$65:$AK$65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'Asia-Pacific'!$AJ$68:$AK$68</c:f>
              <c:numCache>
                <c:formatCode>0.00%</c:formatCode>
                <c:ptCount val="2"/>
                <c:pt idx="0">
                  <c:v>0.24321818181818181</c:v>
                </c:pt>
                <c:pt idx="1">
                  <c:v>0.24079999999999999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F-476C-8814-139F9884317A}"/>
            </c:ext>
          </c:extLst>
        </c:ser>
        <c:ser>
          <c:idx val="3"/>
          <c:order val="3"/>
          <c:tx>
            <c:strRef>
              <c:f>'Asia-Pacific'!$AI$69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'Asia-Pacific'!$AJ$65:$AK$65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'Asia-Pacific'!$AJ$69:$AK$69</c:f>
              <c:numCache>
                <c:formatCode>0.00%</c:formatCode>
                <c:ptCount val="2"/>
                <c:pt idx="0">
                  <c:v>0.1158</c:v>
                </c:pt>
                <c:pt idx="1">
                  <c:v>0.11650000000000001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9F-476C-8814-139F9884317A}"/>
            </c:ext>
          </c:extLst>
        </c:ser>
        <c:ser>
          <c:idx val="4"/>
          <c:order val="4"/>
          <c:tx>
            <c:strRef>
              <c:f>'Asia-Pacific'!$AI$70</c:f>
              <c:strCache>
                <c:ptCount val="1"/>
                <c:pt idx="0">
                  <c:v>Healthcare and Medical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'Asia-Pacific'!$AJ$65:$AK$65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'Asia-Pacific'!$AJ$70:$AK$70</c:f>
              <c:numCache>
                <c:formatCode>0.00%</c:formatCode>
                <c:ptCount val="2"/>
                <c:pt idx="0">
                  <c:v>0.1808909090909091</c:v>
                </c:pt>
                <c:pt idx="1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9F-476C-8814-139F9884317A}"/>
            </c:ext>
          </c:extLst>
        </c:ser>
        <c:ser>
          <c:idx val="5"/>
          <c:order val="5"/>
          <c:tx>
            <c:strRef>
              <c:f>'Asia-Pacific'!$AI$71</c:f>
              <c:strCache>
                <c:ptCount val="1"/>
                <c:pt idx="0">
                  <c:v>Energy and Power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'Asia-Pacific'!$AJ$65:$AK$65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'Asia-Pacific'!$AJ$71:$AK$71</c:f>
              <c:numCache>
                <c:formatCode>0.00%</c:formatCode>
                <c:ptCount val="2"/>
                <c:pt idx="0">
                  <c:v>9.9172727272727274E-2</c:v>
                </c:pt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9F-476C-8814-139F9884317A}"/>
            </c:ext>
          </c:extLst>
        </c:ser>
        <c:ser>
          <c:idx val="6"/>
          <c:order val="6"/>
          <c:tx>
            <c:strRef>
              <c:f>'Asia-Pacific'!$AI$72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'Asia-Pacific'!$AJ$65:$AK$65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'Asia-Pacific'!$AJ$72:$AK$72</c:f>
              <c:numCache>
                <c:formatCode>0.00%</c:formatCode>
                <c:ptCount val="2"/>
                <c:pt idx="0">
                  <c:v>6.8045454545454548E-2</c:v>
                </c:pt>
                <c:pt idx="1">
                  <c:v>6.9000000000000006E-2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2-4A08-97E2-764C3EA3F5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94618176"/>
        <c:axId val="1294611936"/>
      </c:barChart>
      <c:catAx>
        <c:axId val="129461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11936"/>
        <c:crosses val="autoZero"/>
        <c:auto val="1"/>
        <c:lblAlgn val="ctr"/>
        <c:lblOffset val="100"/>
        <c:noMultiLvlLbl val="0"/>
      </c:catAx>
      <c:valAx>
        <c:axId val="129461193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9461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360498690331126E-2"/>
          <c:y val="0.7847341099719557"/>
          <c:w val="0.95890907435893069"/>
          <c:h val="0.196133215102564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7864840496785E-2"/>
          <c:y val="5.0925944490355965E-2"/>
          <c:w val="0.92584270319006434"/>
          <c:h val="0.6551420493905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'Asia-Pacific'!$AI$82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'Asia-Pacific'!$AJ$81:$AK$81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'Asia-Pacific'!$AJ$82:$AK$82</c:f>
              <c:numCache>
                <c:formatCode>0.00%</c:formatCode>
                <c:ptCount val="2"/>
                <c:pt idx="0">
                  <c:v>0.16806363636363639</c:v>
                </c:pt>
                <c:pt idx="1">
                  <c:v>0.1638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A-4D6F-88F7-0296ADBFD7EE}"/>
            </c:ext>
          </c:extLst>
        </c:ser>
        <c:ser>
          <c:idx val="1"/>
          <c:order val="1"/>
          <c:tx>
            <c:strRef>
              <c:f>'Asia-Pacific'!$AI$83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'Asia-Pacific'!$AJ$81:$AK$81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'Asia-Pacific'!$AJ$83:$AK$83</c:f>
              <c:numCache>
                <c:formatCode>0.00%</c:formatCode>
                <c:ptCount val="2"/>
                <c:pt idx="0">
                  <c:v>0.13372727272727275</c:v>
                </c:pt>
                <c:pt idx="1">
                  <c:v>0.13500000000000001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A-4D6F-88F7-0296ADBFD7EE}"/>
            </c:ext>
          </c:extLst>
        </c:ser>
        <c:ser>
          <c:idx val="2"/>
          <c:order val="2"/>
          <c:tx>
            <c:strRef>
              <c:f>'Asia-Pacific'!$AI$84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'Asia-Pacific'!$AJ$81:$AK$81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'Asia-Pacific'!$AJ$84:$AK$84</c:f>
              <c:numCache>
                <c:formatCode>0.00%</c:formatCode>
                <c:ptCount val="2"/>
                <c:pt idx="0">
                  <c:v>0.15018181818181817</c:v>
                </c:pt>
                <c:pt idx="1">
                  <c:v>0.15049999999999999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5-47E5-B086-E70BA3573D7E}"/>
            </c:ext>
          </c:extLst>
        </c:ser>
        <c:ser>
          <c:idx val="3"/>
          <c:order val="3"/>
          <c:tx>
            <c:strRef>
              <c:f>'Asia-Pacific'!$AI$85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'Asia-Pacific'!$AJ$81:$AK$81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'Asia-Pacific'!$AJ$85:$AK$85</c:f>
              <c:numCache>
                <c:formatCode>0.00%</c:formatCode>
                <c:ptCount val="2"/>
                <c:pt idx="0">
                  <c:v>0.16159090909090909</c:v>
                </c:pt>
                <c:pt idx="1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5-4C7B-A8FD-6C8F34D9AA29}"/>
            </c:ext>
          </c:extLst>
        </c:ser>
        <c:ser>
          <c:idx val="4"/>
          <c:order val="4"/>
          <c:tx>
            <c:strRef>
              <c:f>'Asia-Pacific'!$AI$86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'Asia-Pacific'!$AJ$81:$AK$81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'Asia-Pacific'!$AJ$86:$AK$86</c:f>
              <c:numCache>
                <c:formatCode>0.00%</c:formatCode>
                <c:ptCount val="2"/>
                <c:pt idx="0">
                  <c:v>5.954545454545454E-2</c:v>
                </c:pt>
                <c:pt idx="1">
                  <c:v>6.0499999999999998E-2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35-4C7B-A8FD-6C8F34D9AA29}"/>
            </c:ext>
          </c:extLst>
        </c:ser>
        <c:ser>
          <c:idx val="5"/>
          <c:order val="5"/>
          <c:tx>
            <c:strRef>
              <c:f>'Asia-Pacific'!$AI$87</c:f>
              <c:strCache>
                <c:ptCount val="1"/>
                <c:pt idx="0">
                  <c:v>New Zealand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'Asia-Pacific'!$AJ$81:$AK$81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'Asia-Pacific'!$AJ$87:$AK$87</c:f>
              <c:numCache>
                <c:formatCode>0.00%</c:formatCode>
                <c:ptCount val="2"/>
                <c:pt idx="0">
                  <c:v>5.0327272727272727E-2</c:v>
                </c:pt>
                <c:pt idx="1">
                  <c:v>5.0900000000000001E-2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35-4C7B-A8FD-6C8F34D9AA29}"/>
            </c:ext>
          </c:extLst>
        </c:ser>
        <c:ser>
          <c:idx val="6"/>
          <c:order val="6"/>
          <c:tx>
            <c:strRef>
              <c:f>'Asia-Pacific'!$AI$88</c:f>
              <c:strCache>
                <c:ptCount val="1"/>
                <c:pt idx="0">
                  <c:v>Singapore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'Asia-Pacific'!$AJ$81:$AK$81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'Asia-Pacific'!$AJ$88:$AK$88</c:f>
              <c:numCache>
                <c:formatCode>0.00%</c:formatCode>
                <c:ptCount val="2"/>
                <c:pt idx="0">
                  <c:v>7.0218181818181818E-2</c:v>
                </c:pt>
                <c:pt idx="1">
                  <c:v>7.0599999999999982E-2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35-4C7B-A8FD-6C8F34D9AA29}"/>
            </c:ext>
          </c:extLst>
        </c:ser>
        <c:ser>
          <c:idx val="7"/>
          <c:order val="7"/>
          <c:tx>
            <c:strRef>
              <c:f>'Asia-Pacific'!$AI$89</c:f>
              <c:strCache>
                <c:ptCount val="1"/>
                <c:pt idx="0">
                  <c:v>Malaysia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'Asia-Pacific'!$AJ$81:$AK$81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'Asia-Pacific'!$AJ$89:$AK$89</c:f>
              <c:numCache>
                <c:formatCode>0.00%</c:formatCode>
                <c:ptCount val="2"/>
                <c:pt idx="0">
                  <c:v>9.05090909090909E-2</c:v>
                </c:pt>
                <c:pt idx="1">
                  <c:v>9.1399999999999995E-2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35-4C7B-A8FD-6C8F34D9AA29}"/>
            </c:ext>
          </c:extLst>
        </c:ser>
        <c:ser>
          <c:idx val="8"/>
          <c:order val="8"/>
          <c:tx>
            <c:strRef>
              <c:f>'Asia-Pacific'!$AI$90</c:f>
              <c:strCache>
                <c:ptCount val="1"/>
                <c:pt idx="0">
                  <c:v>Rest of Asia Pacific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'Asia-Pacific'!$AJ$81:$AK$81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'Asia-Pacific'!$AJ$90:$AK$90</c:f>
              <c:numCache>
                <c:formatCode>0.00%</c:formatCode>
                <c:ptCount val="2"/>
                <c:pt idx="0">
                  <c:v>0.11583636363636363</c:v>
                </c:pt>
                <c:pt idx="1">
                  <c:v>0.1173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35-4C7B-A8FD-6C8F34D9AA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44210448"/>
        <c:axId val="1544218608"/>
      </c:barChart>
      <c:catAx>
        <c:axId val="154421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18608"/>
        <c:crosses val="autoZero"/>
        <c:auto val="1"/>
        <c:lblAlgn val="ctr"/>
        <c:lblOffset val="100"/>
        <c:noMultiLvlLbl val="0"/>
      </c:catAx>
      <c:valAx>
        <c:axId val="154421860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54421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898502945035537E-2"/>
          <c:y val="0.83369172137155778"/>
          <c:w val="0.96898518998142635"/>
          <c:h val="0.143407508387181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410468259664832E-2"/>
          <c:y val="4.2912846124998169E-2"/>
          <c:w val="0.92810457516339873"/>
          <c:h val="0.710723671539109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'Asia-Pacific'!$AI$43</c:f>
              <c:strCache>
                <c:ptCount val="1"/>
                <c:pt idx="0">
                  <c:v>Flexible 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'Asia-Pacific'!$AJ$42:$AK$42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'Asia-Pacific'!$AJ$43:$AK$43</c:f>
              <c:numCache>
                <c:formatCode>0.00%</c:formatCode>
                <c:ptCount val="2"/>
                <c:pt idx="0">
                  <c:v>0.5449090909090909</c:v>
                </c:pt>
                <c:pt idx="1">
                  <c:v>0.54299999999999993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A-4AF3-8376-2B96995E93FA}"/>
            </c:ext>
          </c:extLst>
        </c:ser>
        <c:ser>
          <c:idx val="1"/>
          <c:order val="1"/>
          <c:tx>
            <c:strRef>
              <c:f>'Asia-Pacific'!$AI$44</c:f>
              <c:strCache>
                <c:ptCount val="1"/>
                <c:pt idx="0">
                  <c:v>Flexible Circuit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'Asia-Pacific'!$AJ$42:$AK$42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'Asia-Pacific'!$AJ$44:$AK$44</c:f>
              <c:numCache>
                <c:formatCode>0.00%</c:formatCode>
                <c:ptCount val="2"/>
                <c:pt idx="0">
                  <c:v>0.4550909090909091</c:v>
                </c:pt>
                <c:pt idx="1">
                  <c:v>0.45672727272727276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5A-4AF3-8376-2B96995E93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2379968"/>
        <c:axId val="1572371328"/>
      </c:barChart>
      <c:catAx>
        <c:axId val="157237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371328"/>
        <c:crosses val="autoZero"/>
        <c:auto val="1"/>
        <c:lblAlgn val="ctr"/>
        <c:lblOffset val="100"/>
        <c:noMultiLvlLbl val="0"/>
      </c:catAx>
      <c:valAx>
        <c:axId val="157237132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57237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867797851694772E-2"/>
          <c:y val="0.86236758369188204"/>
          <c:w val="0.93712277523218801"/>
          <c:h val="0.10334672021419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234033245844273E-2"/>
          <c:y val="5.0925925925925923E-2"/>
          <c:w val="0.87221041119860021"/>
          <c:h val="0.649182129407737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'Asia-Pacific'!$Q$21</c:f>
              <c:strCache>
                <c:ptCount val="1"/>
                <c:pt idx="0">
                  <c:v>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'Asia-Pacific'!$R$21:$AB$21</c:f>
              <c:numCache>
                <c:formatCode>_(* #,##0.00_);_(* \(#,##0.00\);_(* "-"??_);_(@_)</c:formatCode>
                <c:ptCount val="11"/>
                <c:pt idx="0">
                  <c:v>2.3046219007744284</c:v>
                </c:pt>
                <c:pt idx="1">
                  <c:v>2.9704886314237511</c:v>
                </c:pt>
                <c:pt idx="2">
                  <c:v>3.5843676518710677</c:v>
                </c:pt>
                <c:pt idx="3">
                  <c:v>4.8078099813089414</c:v>
                </c:pt>
                <c:pt idx="4">
                  <c:v>5.5576525062487336</c:v>
                </c:pt>
                <c:pt idx="5">
                  <c:v>6.1876109953388658</c:v>
                </c:pt>
                <c:pt idx="6">
                  <c:v>7.5571216548353526</c:v>
                </c:pt>
                <c:pt idx="7">
                  <c:v>8.906665205017239</c:v>
                </c:pt>
                <c:pt idx="8">
                  <c:v>10.0335212437348</c:v>
                </c:pt>
                <c:pt idx="9">
                  <c:v>11.10024048173428</c:v>
                </c:pt>
                <c:pt idx="10">
                  <c:v>12.120387402853417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A-4ED4-9421-EB8E9A22CE3B}"/>
            </c:ext>
          </c:extLst>
        </c:ser>
        <c:ser>
          <c:idx val="1"/>
          <c:order val="1"/>
          <c:tx>
            <c:strRef>
              <c:f>'Asia-Pacific'!$Q$22</c:f>
              <c:strCache>
                <c:ptCount val="1"/>
                <c:pt idx="0">
                  <c:v>Military, Defense and Aerospace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'Asia-Pacific'!$R$22:$AB$22</c:f>
              <c:numCache>
                <c:formatCode>_(* #,##0.00_);_(* \(#,##0.00\);_(* "-"??_);_(@_)</c:formatCode>
                <c:ptCount val="11"/>
                <c:pt idx="0">
                  <c:v>2.3228721606213032</c:v>
                </c:pt>
                <c:pt idx="1">
                  <c:v>2.9888423816718523</c:v>
                </c:pt>
                <c:pt idx="2">
                  <c:v>3.6028154555015623</c:v>
                </c:pt>
                <c:pt idx="3">
                  <c:v>4.8264601453212208</c:v>
                </c:pt>
                <c:pt idx="4">
                  <c:v>5.5764204827507102</c:v>
                </c:pt>
                <c:pt idx="5">
                  <c:v>6.2064752848680849</c:v>
                </c:pt>
                <c:pt idx="6">
                  <c:v>7.5762133638820561</c:v>
                </c:pt>
                <c:pt idx="7">
                  <c:v>8.9259804083711138</c:v>
                </c:pt>
                <c:pt idx="8">
                  <c:v>10.053020101988785</c:v>
                </c:pt>
                <c:pt idx="9">
                  <c:v>11.119912035870971</c:v>
                </c:pt>
                <c:pt idx="10">
                  <c:v>12.140223120695047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781A-4ED4-9421-EB8E9A22CE3B}"/>
            </c:ext>
          </c:extLst>
        </c:ser>
        <c:ser>
          <c:idx val="2"/>
          <c:order val="2"/>
          <c:tx>
            <c:strRef>
              <c:f>'Asia-Pacific'!$Q$23</c:f>
              <c:strCache>
                <c:ptCount val="1"/>
                <c:pt idx="0">
                  <c:v>Consumer 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'Asia-Pacific'!$R$23:$AB$23</c:f>
              <c:numCache>
                <c:formatCode>_(* #,##0.00_);_(* \(#,##0.00\);_(* "-"??_);_(@_)</c:formatCode>
                <c:ptCount val="11"/>
                <c:pt idx="0">
                  <c:v>2.1266979305740508</c:v>
                </c:pt>
                <c:pt idx="1">
                  <c:v>2.7912120103268823</c:v>
                </c:pt>
                <c:pt idx="2">
                  <c:v>3.4038258812295386</c:v>
                </c:pt>
                <c:pt idx="3">
                  <c:v>4.6249365407247778</c:v>
                </c:pt>
                <c:pt idx="4">
                  <c:v>5.3732693927126984</c:v>
                </c:pt>
                <c:pt idx="5">
                  <c:v>6.001924369341527</c:v>
                </c:pt>
                <c:pt idx="6">
                  <c:v>7.3688338356819427</c:v>
                </c:pt>
                <c:pt idx="7">
                  <c:v>8.7158052926949345</c:v>
                </c:pt>
                <c:pt idx="8">
                  <c:v>9.8404740877996666</c:v>
                </c:pt>
                <c:pt idx="9">
                  <c:v>10.905106698671418</c:v>
                </c:pt>
                <c:pt idx="10">
                  <c:v>11.923244086139494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781A-4ED4-9421-EB8E9A22CE3B}"/>
            </c:ext>
          </c:extLst>
        </c:ser>
        <c:ser>
          <c:idx val="3"/>
          <c:order val="3"/>
          <c:tx>
            <c:strRef>
              <c:f>'Asia-Pacific'!$Q$24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'Asia-Pacific'!$R$24:$AB$24</c:f>
              <c:numCache>
                <c:formatCode>_(* #,##0.00_);_(* \(#,##0.00\);_(* "-"??_);_(@_)</c:formatCode>
                <c:ptCount val="11"/>
                <c:pt idx="0">
                  <c:v>2.3597611227594184</c:v>
                </c:pt>
                <c:pt idx="1">
                  <c:v>3.0259205432712433</c:v>
                </c:pt>
                <c:pt idx="2">
                  <c:v>3.6400635716011376</c:v>
                </c:pt>
                <c:pt idx="3">
                  <c:v>4.8640966123549845</c:v>
                </c:pt>
                <c:pt idx="4">
                  <c:v>5.6142743688594621</c:v>
                </c:pt>
                <c:pt idx="5">
                  <c:v>6.2445030302438864</c:v>
                </c:pt>
                <c:pt idx="6">
                  <c:v>7.6146789462411713</c:v>
                </c:pt>
                <c:pt idx="7">
                  <c:v>8.9648754684557908</c:v>
                </c:pt>
                <c:pt idx="8">
                  <c:v>10.092264012535225</c:v>
                </c:pt>
                <c:pt idx="9">
                  <c:v>11.159482393524446</c:v>
                </c:pt>
                <c:pt idx="10">
                  <c:v>12.180102437384321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781A-4ED4-9421-EB8E9A22CE3B}"/>
            </c:ext>
          </c:extLst>
        </c:ser>
        <c:ser>
          <c:idx val="4"/>
          <c:order val="4"/>
          <c:tx>
            <c:strRef>
              <c:f>'Asia-Pacific'!$Q$25</c:f>
              <c:strCache>
                <c:ptCount val="1"/>
                <c:pt idx="0">
                  <c:v>Healthcare and Medical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'Asia-Pacific'!$R$25:$AB$25</c:f>
              <c:numCache>
                <c:formatCode>_(* #,##0.00_);_(* \(#,##0.00\);_(* "-"??_);_(@_)</c:formatCode>
                <c:ptCount val="11"/>
                <c:pt idx="0">
                  <c:v>2.1993831202739011</c:v>
                </c:pt>
                <c:pt idx="1">
                  <c:v>2.8645251984644515</c:v>
                </c:pt>
                <c:pt idx="2">
                  <c:v>3.4777324930421738</c:v>
                </c:pt>
                <c:pt idx="3">
                  <c:v>4.6998747907148974</c:v>
                </c:pt>
                <c:pt idx="4">
                  <c:v>5.4489041712112662</c:v>
                </c:pt>
                <c:pt idx="5">
                  <c:v>6.0781724072676013</c:v>
                </c:pt>
                <c:pt idx="6">
                  <c:v>7.4462297605241368</c:v>
                </c:pt>
                <c:pt idx="7">
                  <c:v>8.794339448476606</c:v>
                </c:pt>
                <c:pt idx="8">
                  <c:v>9.9199902530384243</c:v>
                </c:pt>
                <c:pt idx="9">
                  <c:v>10.985565362156491</c:v>
                </c:pt>
                <c:pt idx="10">
                  <c:v>12.004615321411173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81A-4ED4-9421-EB8E9A22CE3B}"/>
            </c:ext>
          </c:extLst>
        </c:ser>
        <c:ser>
          <c:idx val="5"/>
          <c:order val="5"/>
          <c:tx>
            <c:strRef>
              <c:f>'Asia-Pacific'!$Q$26</c:f>
              <c:strCache>
                <c:ptCount val="1"/>
                <c:pt idx="0">
                  <c:v>Energy and Power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'Asia-Pacific'!$R$26:$AB$26</c:f>
              <c:numCache>
                <c:formatCode>_(* #,##0.00_);_(* \(#,##0.00\);_(* "-"??_);_(@_)</c:formatCode>
                <c:ptCount val="11"/>
                <c:pt idx="0">
                  <c:v>2.3935957952135212</c:v>
                </c:pt>
                <c:pt idx="1">
                  <c:v>3.0599052604742161</c:v>
                </c:pt>
                <c:pt idx="2">
                  <c:v>3.6741805230512403</c:v>
                </c:pt>
                <c:pt idx="3">
                  <c:v>4.8985455394745525</c:v>
                </c:pt>
                <c:pt idx="4">
                  <c:v>5.6488984914450757</c:v>
                </c:pt>
                <c:pt idx="5">
                  <c:v>6.2792623159200867</c:v>
                </c:pt>
                <c:pt idx="6">
                  <c:v>7.6498143575674638</c:v>
                </c:pt>
                <c:pt idx="7">
                  <c:v>9.0003788847633928</c:v>
                </c:pt>
                <c:pt idx="8">
                  <c:v>10.128061409303513</c:v>
                </c:pt>
                <c:pt idx="9">
                  <c:v>11.195552972603394</c:v>
                </c:pt>
                <c:pt idx="10">
                  <c:v>12.216429921141202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781A-4ED4-9421-EB8E9A22CE3B}"/>
            </c:ext>
          </c:extLst>
        </c:ser>
        <c:ser>
          <c:idx val="6"/>
          <c:order val="6"/>
          <c:tx>
            <c:strRef>
              <c:f>'Asia-Pacific'!$Q$27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'Asia-Pacific'!$R$27:$AB$27</c:f>
              <c:numCache>
                <c:formatCode>_(* #,##0.00_);_(* \(#,##0.00\);_(* "-"??_);_(@_)</c:formatCode>
                <c:ptCount val="11"/>
                <c:pt idx="0">
                  <c:v>2.4777463124570298</c:v>
                </c:pt>
                <c:pt idx="1">
                  <c:v>3.144331641116338</c:v>
                </c:pt>
                <c:pt idx="2">
                  <c:v>3.7588381062658049</c:v>
                </c:pt>
                <c:pt idx="3">
                  <c:v>4.9839290330005115</c:v>
                </c:pt>
                <c:pt idx="4">
                  <c:v>5.7346182608005059</c:v>
                </c:pt>
                <c:pt idx="5">
                  <c:v>6.3652187673075566</c:v>
                </c:pt>
                <c:pt idx="6">
                  <c:v>7.7366023233036874</c:v>
                </c:pt>
                <c:pt idx="7">
                  <c:v>9.0879766145319572</c:v>
                </c:pt>
                <c:pt idx="8">
                  <c:v>10.216284809480536</c:v>
                </c:pt>
                <c:pt idx="9">
                  <c:v>11.284349605139688</c:v>
                </c:pt>
                <c:pt idx="10">
                  <c:v>12.305758643573483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1-4B87-BEE9-F37A943C4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779135"/>
        <c:axId val="359772415"/>
        <c:extLst/>
      </c:barChart>
      <c:catAx>
        <c:axId val="359779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72415"/>
        <c:crosses val="autoZero"/>
        <c:auto val="1"/>
        <c:lblAlgn val="ctr"/>
        <c:lblOffset val="100"/>
        <c:noMultiLvlLbl val="0"/>
      </c:catAx>
      <c:valAx>
        <c:axId val="359772415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7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256329303565772E-2"/>
          <c:y val="0.79562307428962686"/>
          <c:w val="0.96574365704286969"/>
          <c:h val="0.20437692571037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90069991251093"/>
          <c:y val="5.0925925925925923E-2"/>
          <c:w val="0.8595437445319335"/>
          <c:h val="0.665736612706664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'Asia-Pacific'!$Q$30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'Asia-Pacific'!$R$30:$AB$30</c:f>
              <c:numCache>
                <c:formatCode>_(* #,##0.00_);_(* \(#,##0.00\);_(* "-"??_);_(@_)</c:formatCode>
                <c:ptCount val="11"/>
                <c:pt idx="0">
                  <c:v>1.9057865137213748</c:v>
                </c:pt>
                <c:pt idx="1">
                  <c:v>2.567749965832733</c:v>
                </c:pt>
                <c:pt idx="2">
                  <c:v>3.1779032423293607</c:v>
                </c:pt>
                <c:pt idx="3">
                  <c:v>4.3951946389787278</c:v>
                </c:pt>
                <c:pt idx="4">
                  <c:v>5.1407153690278484</c:v>
                </c:pt>
                <c:pt idx="5">
                  <c:v>5.7667975686193085</c:v>
                </c:pt>
                <c:pt idx="6">
                  <c:v>7.129464656716622</c:v>
                </c:pt>
                <c:pt idx="7">
                  <c:v>8.4721976205719862</c:v>
                </c:pt>
                <c:pt idx="8">
                  <c:v>9.593087773407504</c:v>
                </c:pt>
                <c:pt idx="9">
                  <c:v>10.654041466659026</c:v>
                </c:pt>
                <c:pt idx="10">
                  <c:v>11.668570509282894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5-4918-8999-69599BCA8CEA}"/>
            </c:ext>
          </c:extLst>
        </c:ser>
        <c:ser>
          <c:idx val="1"/>
          <c:order val="1"/>
          <c:tx>
            <c:strRef>
              <c:f>'Asia-Pacific'!$Q$31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'Asia-Pacific'!$R$31:$AB$31</c:f>
              <c:numCache>
                <c:formatCode>_(* #,##0.00_);_(* \(#,##0.00\);_(* "-"??_);_(@_)</c:formatCode>
                <c:ptCount val="11"/>
                <c:pt idx="0">
                  <c:v>2.4109481210394801</c:v>
                </c:pt>
                <c:pt idx="1">
                  <c:v>3.0773258262046577</c:v>
                </c:pt>
                <c:pt idx="2">
                  <c:v>3.6916601505105673</c:v>
                </c:pt>
                <c:pt idx="3">
                  <c:v>4.9161864703631819</c:v>
                </c:pt>
                <c:pt idx="4">
                  <c:v>5.6666203349849287</c:v>
                </c:pt>
                <c:pt idx="5">
                  <c:v>6.2970445272243269</c:v>
                </c:pt>
                <c:pt idx="6">
                  <c:v>7.6677801031687531</c:v>
                </c:pt>
                <c:pt idx="7">
                  <c:v>9.0185238484760113</c:v>
                </c:pt>
                <c:pt idx="8">
                  <c:v>10.146347616403295</c:v>
                </c:pt>
                <c:pt idx="9">
                  <c:v>11.213969680733161</c:v>
                </c:pt>
                <c:pt idx="10">
                  <c:v>12.234968710979821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E5-4918-8999-69599BCA8CEA}"/>
            </c:ext>
          </c:extLst>
        </c:ser>
        <c:ser>
          <c:idx val="2"/>
          <c:order val="2"/>
          <c:tx>
            <c:strRef>
              <c:f>'Asia-Pacific'!$Q$32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'Asia-Pacific'!$R$32:$AB$32</c:f>
              <c:numCache>
                <c:formatCode>_(* #,##0.00_);_(* \(#,##0.00\);_(* "-"??_);_(@_)</c:formatCode>
                <c:ptCount val="11"/>
                <c:pt idx="0">
                  <c:v>2.3021292068812649</c:v>
                </c:pt>
                <c:pt idx="1">
                  <c:v>2.9679812941064476</c:v>
                </c:pt>
                <c:pt idx="2">
                  <c:v>3.5818469551756271</c:v>
                </c:pt>
                <c:pt idx="3">
                  <c:v>4.8052611183412974</c:v>
                </c:pt>
                <c:pt idx="4">
                  <c:v>5.5550870233782801</c:v>
                </c:pt>
                <c:pt idx="5">
                  <c:v>6.1850318258245274</c:v>
                </c:pt>
                <c:pt idx="6">
                  <c:v>7.5545108648682913</c:v>
                </c:pt>
                <c:pt idx="7">
                  <c:v>8.9040233192424267</c:v>
                </c:pt>
                <c:pt idx="8">
                  <c:v>10.030853700378394</c:v>
                </c:pt>
                <c:pt idx="9">
                  <c:v>11.097548770546716</c:v>
                </c:pt>
                <c:pt idx="10">
                  <c:v>12.117672682361658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B9B-4750-AE2E-902222999851}"/>
            </c:ext>
          </c:extLst>
        </c:ser>
        <c:ser>
          <c:idx val="3"/>
          <c:order val="3"/>
          <c:tx>
            <c:strRef>
              <c:f>'Asia-Pacific'!$Q$33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'Asia-Pacific'!$R$33:$AB$33</c:f>
              <c:numCache>
                <c:formatCode>_(* #,##0.00_);_(* \(#,##0.00\);_(* "-"??_);_(@_)</c:formatCode>
                <c:ptCount val="11"/>
                <c:pt idx="0">
                  <c:v>2.1281013963785567</c:v>
                </c:pt>
                <c:pt idx="1">
                  <c:v>2.7926285900768955</c:v>
                </c:pt>
                <c:pt idx="2">
                  <c:v>3.4052549261157861</c:v>
                </c:pt>
                <c:pt idx="3">
                  <c:v>4.6263865487907285</c:v>
                </c:pt>
                <c:pt idx="4">
                  <c:v>5.3747339061013033</c:v>
                </c:pt>
                <c:pt idx="5">
                  <c:v>6.0034017964368136</c:v>
                </c:pt>
                <c:pt idx="6">
                  <c:v>7.3703345627206263</c:v>
                </c:pt>
                <c:pt idx="7">
                  <c:v>8.7173291667228092</c:v>
                </c:pt>
                <c:pt idx="8">
                  <c:v>9.8420181096436679</c:v>
                </c:pt>
                <c:pt idx="9">
                  <c:v>10.906670130699347</c:v>
                </c:pt>
                <c:pt idx="10">
                  <c:v>11.924826375587273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5B9B-4750-AE2E-902222999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758015"/>
        <c:axId val="359763775"/>
        <c:extLst/>
      </c:barChart>
      <c:catAx>
        <c:axId val="35975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63775"/>
        <c:crosses val="autoZero"/>
        <c:auto val="1"/>
        <c:lblAlgn val="ctr"/>
        <c:lblOffset val="100"/>
        <c:noMultiLvlLbl val="0"/>
      </c:catAx>
      <c:valAx>
        <c:axId val="359763775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5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6143440414980556E-2"/>
          <c:y val="0.84590031038441782"/>
          <c:w val="0.89965021032790948"/>
          <c:h val="0.15409983196762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914260717410323E-2"/>
          <c:y val="5.0925925925925923E-2"/>
          <c:w val="0.84320384951881011"/>
          <c:h val="0.688938071930197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'Asia-Pacific'!$Q$8</c:f>
              <c:strCache>
                <c:ptCount val="1"/>
                <c:pt idx="0">
                  <c:v>Flexible 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'Asia-Pacific'!$R$8:$AB$8</c:f>
              <c:numCache>
                <c:formatCode>_(* #,##0.00_);_(* \(#,##0.00\);_(* "-"??_);_(@_)</c:formatCode>
                <c:ptCount val="11"/>
                <c:pt idx="0">
                  <c:v>2.2200534684641671</c:v>
                </c:pt>
                <c:pt idx="1">
                  <c:v>2.8853550970866504</c:v>
                </c:pt>
                <c:pt idx="2">
                  <c:v>3.4987117822182556</c:v>
                </c:pt>
                <c:pt idx="3">
                  <c:v>4.7211274209766563</c:v>
                </c:pt>
                <c:pt idx="4">
                  <c:v>5.4703346353778715</c:v>
                </c:pt>
                <c:pt idx="5">
                  <c:v>6.0997567506678729</c:v>
                </c:pt>
                <c:pt idx="6">
                  <c:v>7.4681188463884052</c:v>
                </c:pt>
                <c:pt idx="7">
                  <c:v>8.8165299286258048</c:v>
                </c:pt>
                <c:pt idx="8">
                  <c:v>9.9424374109662992</c:v>
                </c:pt>
                <c:pt idx="9">
                  <c:v>11.008257519509247</c:v>
                </c:pt>
                <c:pt idx="10">
                  <c:v>12.027543530817075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2-4A91-A467-867E6504D7C0}"/>
            </c:ext>
          </c:extLst>
        </c:ser>
        <c:ser>
          <c:idx val="5"/>
          <c:order val="5"/>
          <c:tx>
            <c:strRef>
              <c:f>'Asia-Pacific'!$Q$13</c:f>
              <c:strCache>
                <c:ptCount val="1"/>
                <c:pt idx="0">
                  <c:v>Flexible Circuit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'Asia-Pacific'!$R$13:$AB$13</c:f>
              <c:numCache>
                <c:formatCode>_(* #,##0.00_);_(* \(#,##0.00\);_(* "-"??_);_(@_)</c:formatCode>
                <c:ptCount val="11"/>
                <c:pt idx="0">
                  <c:v>2.3325743594156734</c:v>
                </c:pt>
                <c:pt idx="1">
                  <c:v>2.9985969327948725</c:v>
                </c:pt>
                <c:pt idx="2">
                  <c:v>3.6126173179465537</c:v>
                </c:pt>
                <c:pt idx="3">
                  <c:v>4.8363668260454018</c:v>
                </c:pt>
                <c:pt idx="4">
                  <c:v>5.5863870280889349</c:v>
                </c:pt>
                <c:pt idx="5">
                  <c:v>6.2164902500340569</c:v>
                </c:pt>
                <c:pt idx="6">
                  <c:v>7.5863463092305183</c:v>
                </c:pt>
                <c:pt idx="7">
                  <c:v>8.9362291888406489</c:v>
                </c:pt>
                <c:pt idx="8">
                  <c:v>10.06336352317614</c:v>
                </c:pt>
                <c:pt idx="9">
                  <c:v>11.13034423649415</c:v>
                </c:pt>
                <c:pt idx="10">
                  <c:v>12.150739530934572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0-401B-BD6F-9785A3DC1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2821280"/>
        <c:axId val="168954686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'Asia-Pacific'!$Q$9</c15:sqref>
                        </c15:formulaRef>
                      </c:ext>
                    </c:extLst>
                    <c:strCache>
                      <c:ptCount val="1"/>
                      <c:pt idx="0">
                        <c:v>Flexible Displays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'Asia-Pacific'!$R$5:$AB$5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'Asia-Pacific'!$R$9:$AB$9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2.0269551296609567</c:v>
                      </c:pt>
                      <c:pt idx="1">
                        <c:v>2.6904374096744288</c:v>
                      </c:pt>
                      <c:pt idx="2">
                        <c:v>3.3020633514434516</c:v>
                      </c:pt>
                      <c:pt idx="3">
                        <c:v>4.521578074460586</c:v>
                      </c:pt>
                      <c:pt idx="4">
                        <c:v>5.2687722891617161</c:v>
                      </c:pt>
                      <c:pt idx="5">
                        <c:v>5.8963997245416566</c:v>
                      </c:pt>
                      <c:pt idx="6">
                        <c:v>7.2615366936537029</c:v>
                      </c:pt>
                      <c:pt idx="7">
                        <c:v>8.6067427029902674</c:v>
                      </c:pt>
                      <c:pt idx="8">
                        <c:v>9.7298570142273064</c:v>
                      </c:pt>
                      <c:pt idx="9">
                        <c:v>10.792984548061103</c:v>
                      </c:pt>
                      <c:pt idx="10">
                        <c:v>11.809653131028774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F92-4A91-A467-867E6504D7C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'Asia-Pacific'!$Q$10</c15:sqref>
                        </c15:formulaRef>
                      </c:ext>
                    </c:extLst>
                    <c:strCache>
                      <c:ptCount val="1"/>
                      <c:pt idx="0">
                        <c:v>Flexible Batteries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'Asia-Pacific'!$R$10:$AB$10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2.347096908655022</c:v>
                      </c:pt>
                      <c:pt idx="1">
                        <c:v>3.0131943886879009</c:v>
                      </c:pt>
                      <c:pt idx="2">
                        <c:v>3.62728210658676</c:v>
                      </c:pt>
                      <c:pt idx="3">
                        <c:v>4.8511849362718573</c:v>
                      </c:pt>
                      <c:pt idx="4">
                        <c:v>5.6012911666250886</c:v>
                      </c:pt>
                      <c:pt idx="5">
                        <c:v>6.2314632691895744</c:v>
                      </c:pt>
                      <c:pt idx="6">
                        <c:v>7.6014921528967827</c:v>
                      </c:pt>
                      <c:pt idx="7">
                        <c:v>8.9515445738667765</c:v>
                      </c:pt>
                      <c:pt idx="8">
                        <c:v>10.07881670891182</c:v>
                      </c:pt>
                      <c:pt idx="9">
                        <c:v>11.145926407203422</c:v>
                      </c:pt>
                      <c:pt idx="10">
                        <c:v>12.166443805719208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92-4A91-A467-867E6504D7C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'Asia-Pacific'!$Q$11</c15:sqref>
                        </c15:formulaRef>
                      </c:ext>
                    </c:extLst>
                    <c:strCache>
                      <c:ptCount val="1"/>
                      <c:pt idx="0">
                        <c:v>Flexible Sensors 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'Asia-Pacific'!$R$11:$AB$11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2.328885631077493</c:v>
                      </c:pt>
                      <c:pt idx="1">
                        <c:v>2.9948885183003426</c:v>
                      </c:pt>
                      <c:pt idx="2">
                        <c:v>3.6088911357287312</c:v>
                      </c:pt>
                      <c:pt idx="3">
                        <c:v>4.83260101795564</c:v>
                      </c:pt>
                      <c:pt idx="4">
                        <c:v>5.5825986857010346</c:v>
                      </c:pt>
                      <c:pt idx="5">
                        <c:v>6.212683725738577</c:v>
                      </c:pt>
                      <c:pt idx="6">
                        <c:v>7.5824951677228469</c:v>
                      </c:pt>
                      <c:pt idx="7">
                        <c:v>8.9323342503143657</c:v>
                      </c:pt>
                      <c:pt idx="8">
                        <c:v>10.05943284674855</c:v>
                      </c:pt>
                      <c:pt idx="9">
                        <c:v>11.126380053358442</c:v>
                      </c:pt>
                      <c:pt idx="10">
                        <c:v>12.146743581167719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92-4A91-A467-867E6504D7C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'Asia-Pacific'!$Q$12</c15:sqref>
                        </c15:formulaRef>
                      </c:ext>
                    </c:extLst>
                    <c:strCache>
                      <c:ptCount val="1"/>
                      <c:pt idx="0">
                        <c:v>Flexible Memory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'Asia-Pacific'!$R$12:$AB$12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2.3211238463837658</c:v>
                      </c:pt>
                      <c:pt idx="1">
                        <c:v>2.987084436957943</c:v>
                      </c:pt>
                      <c:pt idx="2">
                        <c:v>3.601048786974137</c:v>
                      </c:pt>
                      <c:pt idx="3">
                        <c:v>4.8246743851687812</c:v>
                      </c:pt>
                      <c:pt idx="4">
                        <c:v>5.574623731120032</c:v>
                      </c:pt>
                      <c:pt idx="5">
                        <c:v>6.2046696030246151</c:v>
                      </c:pt>
                      <c:pt idx="6">
                        <c:v>7.5743862070635437</c:v>
                      </c:pt>
                      <c:pt idx="7">
                        <c:v>8.9241321588799281</c:v>
                      </c:pt>
                      <c:pt idx="8">
                        <c:v>10.051154577973787</c:v>
                      </c:pt>
                      <c:pt idx="9">
                        <c:v>11.118030290993964</c:v>
                      </c:pt>
                      <c:pt idx="10">
                        <c:v>12.138325975996667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180-401B-BD6F-9785A3DC198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'Asia-Pacific'!$Q$14</c15:sqref>
                        </c15:formulaRef>
                      </c:ext>
                    </c:extLst>
                    <c:strCache>
                      <c:ptCount val="1"/>
                      <c:pt idx="0">
                        <c:v>Single Sided Flex Circuit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'Asia-Pacific'!$R$14:$AB$14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2.4486333163455498</c:v>
                      </c:pt>
                      <c:pt idx="1">
                        <c:v>3.1151388977494143</c:v>
                      </c:pt>
                      <c:pt idx="2">
                        <c:v>3.7295810981689659</c:v>
                      </c:pt>
                      <c:pt idx="3">
                        <c:v>4.9544369156570012</c:v>
                      </c:pt>
                      <c:pt idx="4">
                        <c:v>5.705025758480331</c:v>
                      </c:pt>
                      <c:pt idx="5">
                        <c:v>6.3355603131387328</c:v>
                      </c:pt>
                      <c:pt idx="6">
                        <c:v>7.7066728172218157</c:v>
                      </c:pt>
                      <c:pt idx="7">
                        <c:v>9.0577838022494852</c:v>
                      </c:pt>
                      <c:pt idx="8">
                        <c:v>10.185892349939385</c:v>
                      </c:pt>
                      <c:pt idx="9">
                        <c:v>11.253775725403891</c:v>
                      </c:pt>
                      <c:pt idx="10">
                        <c:v>12.275017654293375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180-401B-BD6F-9785A3DC198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'Asia-Pacific'!$Q$15</c15:sqref>
                        </c15:formulaRef>
                      </c:ext>
                    </c:extLst>
                    <c:strCache>
                      <c:ptCount val="1"/>
                      <c:pt idx="0">
                        <c:v>Double Sided Flex Circuit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'Asia-Pacific'!$R$15:$AB$15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2.3176248338438343</c:v>
                      </c:pt>
                      <c:pt idx="1">
                        <c:v>2.9835659698985495</c:v>
                      </c:pt>
                      <c:pt idx="2">
                        <c:v>3.5975126783313938</c:v>
                      </c:pt>
                      <c:pt idx="3">
                        <c:v>4.8210998803681626</c:v>
                      </c:pt>
                      <c:pt idx="4">
                        <c:v>5.5710270410775919</c:v>
                      </c:pt>
                      <c:pt idx="5">
                        <c:v>6.2010548520557318</c:v>
                      </c:pt>
                      <c:pt idx="6">
                        <c:v>7.5707282791708685</c:v>
                      </c:pt>
                      <c:pt idx="7">
                        <c:v>8.9204318152463102</c:v>
                      </c:pt>
                      <c:pt idx="8">
                        <c:v>10.047419459095064</c:v>
                      </c:pt>
                      <c:pt idx="9">
                        <c:v>11.114262503250671</c:v>
                      </c:pt>
                      <c:pt idx="10">
                        <c:v>12.134527160298303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180-401B-BD6F-9785A3DC198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'Asia-Pacific'!$Q$16</c15:sqref>
                        </c15:formulaRef>
                      </c:ext>
                    </c:extLst>
                    <c:strCache>
                      <c:ptCount val="1"/>
                      <c:pt idx="0">
                        <c:v>Multilayer Flex Circuit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'Asia-Pacific'!$R$16:$AB$16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2.1094444542163027</c:v>
                      </c:pt>
                      <c:pt idx="1">
                        <c:v>2.7737941360371998</c:v>
                      </c:pt>
                      <c:pt idx="2">
                        <c:v>3.3862515189496234</c:v>
                      </c:pt>
                      <c:pt idx="3">
                        <c:v>4.6071010959995551</c:v>
                      </c:pt>
                      <c:pt idx="4">
                        <c:v>5.3552522080111853</c:v>
                      </c:pt>
                      <c:pt idx="5">
                        <c:v>5.9837449526734199</c:v>
                      </c:pt>
                      <c:pt idx="6">
                        <c:v>7.3503642933977043</c:v>
                      </c:pt>
                      <c:pt idx="7">
                        <c:v>8.6970473900931378</c:v>
                      </c:pt>
                      <c:pt idx="8">
                        <c:v>9.821464632314413</c:v>
                      </c:pt>
                      <c:pt idx="9">
                        <c:v>10.88585466939751</c:v>
                      </c:pt>
                      <c:pt idx="10">
                        <c:v>11.903756189899074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180-401B-BD6F-9785A3DC198B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'Asia-Pacific'!$Q$17</c15:sqref>
                        </c15:formulaRef>
                      </c:ext>
                    </c:extLst>
                    <c:strCache>
                      <c:ptCount val="1"/>
                      <c:pt idx="0">
                        <c:v>Rigid Flex Circuit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'Asia-Pacific'!$R$17:$AB$17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2.447034259017733</c:v>
                      </c:pt>
                      <c:pt idx="1">
                        <c:v>3.1135349795462508</c:v>
                      </c:pt>
                      <c:pt idx="2">
                        <c:v>3.7279731690171625</c:v>
                      </c:pt>
                      <c:pt idx="3">
                        <c:v>4.9528155828957088</c:v>
                      </c:pt>
                      <c:pt idx="4">
                        <c:v>5.7033984247596425</c:v>
                      </c:pt>
                      <c:pt idx="5">
                        <c:v>6.333928870922878</c:v>
                      </c:pt>
                      <c:pt idx="6">
                        <c:v>7.7050259806172638</c:v>
                      </c:pt>
                      <c:pt idx="7">
                        <c:v>9.0561219904667709</c:v>
                      </c:pt>
                      <c:pt idx="8">
                        <c:v>10.184219060960832</c:v>
                      </c:pt>
                      <c:pt idx="9">
                        <c:v>11.252091958278454</c:v>
                      </c:pt>
                      <c:pt idx="10">
                        <c:v>12.273324193219581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180-401B-BD6F-9785A3DC198B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'Asia-Pacific'!$Q$18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'Asia-Pacific'!$R$18:$AB$18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2.4401811561841624</c:v>
                      </c:pt>
                      <c:pt idx="1">
                        <c:v>3.1066604772336026</c:v>
                      </c:pt>
                      <c:pt idx="2">
                        <c:v>3.7210809088048302</c:v>
                      </c:pt>
                      <c:pt idx="3">
                        <c:v>4.9458652996336561</c:v>
                      </c:pt>
                      <c:pt idx="4">
                        <c:v>5.6964218469788719</c:v>
                      </c:pt>
                      <c:pt idx="5">
                        <c:v>6.3269341101811483</c:v>
                      </c:pt>
                      <c:pt idx="6">
                        <c:v>7.6979646440515914</c:v>
                      </c:pt>
                      <c:pt idx="7">
                        <c:v>9.048995866901377</c:v>
                      </c:pt>
                      <c:pt idx="8">
                        <c:v>10.17704314304353</c:v>
                      </c:pt>
                      <c:pt idx="9">
                        <c:v>11.244870524749562</c:v>
                      </c:pt>
                      <c:pt idx="10">
                        <c:v>12.266060602342099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180-401B-BD6F-9785A3DC198B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180-401B-BD6F-9785A3DC198B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'Asia-Pacific'!#REF!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180-401B-BD6F-9785A3DC198B}"/>
                  </c:ext>
                </c:extLst>
              </c15:ser>
            </c15:filteredBarSeries>
          </c:ext>
        </c:extLst>
      </c:barChart>
      <c:catAx>
        <c:axId val="862821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546864"/>
        <c:crosses val="autoZero"/>
        <c:auto val="1"/>
        <c:lblAlgn val="ctr"/>
        <c:lblOffset val="100"/>
        <c:noMultiLvlLbl val="0"/>
      </c:catAx>
      <c:valAx>
        <c:axId val="1689546864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2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5344328580549056"/>
          <c:w val="0.91871272486151623"/>
          <c:h val="0.121072213946229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90069991251093"/>
          <c:y val="5.0925925925925923E-2"/>
          <c:w val="0.8595437445319335"/>
          <c:h val="0.665736612706664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'Asia-Pacific'!$Q$34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'Asia-Pacific'!$R$34:$AB$34</c:f>
              <c:numCache>
                <c:formatCode>_(* #,##0.00_);_(* \(#,##0.00\);_(* "-"??_);_(@_)</c:formatCode>
                <c:ptCount val="11"/>
                <c:pt idx="0">
                  <c:v>2.5075119235715926</c:v>
                </c:pt>
                <c:pt idx="1">
                  <c:v>3.1741616434468156</c:v>
                </c:pt>
                <c:pt idx="2">
                  <c:v>3.788716673796455</c:v>
                </c:pt>
                <c:pt idx="3">
                  <c:v>5.0140305439476895</c:v>
                </c:pt>
                <c:pt idx="4">
                  <c:v>5.7648050907467496</c:v>
                </c:pt>
                <c:pt idx="5">
                  <c:v>6.3954557737356366</c:v>
                </c:pt>
                <c:pt idx="6">
                  <c:v>7.7670984915705343</c:v>
                </c:pt>
                <c:pt idx="7">
                  <c:v>9.1187238244142996</c:v>
                </c:pt>
                <c:pt idx="8">
                  <c:v>10.247218047448769</c:v>
                </c:pt>
                <c:pt idx="9">
                  <c:v>11.315450181827401</c:v>
                </c:pt>
                <c:pt idx="10">
                  <c:v>12.337011883112181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9-45DC-B2ED-966DC1F77DDF}"/>
            </c:ext>
          </c:extLst>
        </c:ser>
        <c:ser>
          <c:idx val="1"/>
          <c:order val="1"/>
          <c:tx>
            <c:strRef>
              <c:f>'Asia-Pacific'!$Q$35</c:f>
              <c:strCache>
                <c:ptCount val="1"/>
                <c:pt idx="0">
                  <c:v>New Zealand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'Asia-Pacific'!$R$35:$AB$35</c:f>
              <c:numCache>
                <c:formatCode>_(* #,##0.00_);_(* \(#,##0.00\);_(* "-"??_);_(@_)</c:formatCode>
                <c:ptCount val="11"/>
                <c:pt idx="0">
                  <c:v>2.4384907241518761</c:v>
                </c:pt>
                <c:pt idx="1">
                  <c:v>3.1049646252381491</c:v>
                </c:pt>
                <c:pt idx="2">
                  <c:v>3.71938053483436</c:v>
                </c:pt>
                <c:pt idx="3">
                  <c:v>4.9441504688740645</c:v>
                </c:pt>
                <c:pt idx="4">
                  <c:v>5.6947003864932677</c:v>
                </c:pt>
                <c:pt idx="5">
                  <c:v>6.3252080210410844</c:v>
                </c:pt>
                <c:pt idx="6">
                  <c:v>7.6962219831490541</c:v>
                </c:pt>
                <c:pt idx="7">
                  <c:v>9.0472370735065653</c:v>
                </c:pt>
                <c:pt idx="8">
                  <c:v>10.175271915637074</c:v>
                </c:pt>
                <c:pt idx="9">
                  <c:v>11.24308791800197</c:v>
                </c:pt>
                <c:pt idx="10">
                  <c:v>12.26426744395015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49-45DC-B2ED-966DC1F77DDF}"/>
            </c:ext>
          </c:extLst>
        </c:ser>
        <c:ser>
          <c:idx val="2"/>
          <c:order val="2"/>
          <c:tx>
            <c:strRef>
              <c:f>'Asia-Pacific'!$Q$36</c:f>
              <c:strCache>
                <c:ptCount val="1"/>
                <c:pt idx="0">
                  <c:v>Singapore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'Asia-Pacific'!$R$36:$AB$36</c:f>
              <c:numCache>
                <c:formatCode>_(* #,##0.00_);_(* \(#,##0.00\);_(* "-"??_);_(@_)</c:formatCode>
                <c:ptCount val="11"/>
                <c:pt idx="0">
                  <c:v>2.3508297487636387</c:v>
                </c:pt>
                <c:pt idx="1">
                  <c:v>3.0169458133904037</c:v>
                </c:pt>
                <c:pt idx="2">
                  <c:v>3.6310501639772896</c:v>
                </c:pt>
                <c:pt idx="3">
                  <c:v>4.8549917117848285</c:v>
                </c:pt>
                <c:pt idx="4">
                  <c:v>5.6051193627234763</c:v>
                </c:pt>
                <c:pt idx="5">
                  <c:v>6.2353084754025012</c:v>
                </c:pt>
                <c:pt idx="6">
                  <c:v>7.6053810530101851</c:v>
                </c:pt>
                <c:pt idx="7">
                  <c:v>8.9554763103927506</c:v>
                </c:pt>
                <c:pt idx="8">
                  <c:v>10.082783120578531</c:v>
                </c:pt>
                <c:pt idx="9">
                  <c:v>11.149925220246715</c:v>
                </c:pt>
                <c:pt idx="10">
                  <c:v>12.170473244042036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0649-45DC-B2ED-966DC1F77DDF}"/>
            </c:ext>
          </c:extLst>
        </c:ser>
        <c:ser>
          <c:idx val="3"/>
          <c:order val="3"/>
          <c:tx>
            <c:strRef>
              <c:f>'Asia-Pacific'!$Q$37</c:f>
              <c:strCache>
                <c:ptCount val="1"/>
                <c:pt idx="0">
                  <c:v>Malaysia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'Asia-Pacific'!$R$37:$AB$37</c:f>
              <c:numCache>
                <c:formatCode>_(* #,##0.00_);_(* \(#,##0.00\);_(* "-"??_);_(@_)</c:formatCode>
                <c:ptCount val="11"/>
                <c:pt idx="0">
                  <c:v>2.4157638046067964</c:v>
                </c:pt>
                <c:pt idx="1">
                  <c:v>3.0821594015107978</c:v>
                </c:pt>
                <c:pt idx="2">
                  <c:v>3.6965090662589573</c:v>
                </c:pt>
                <c:pt idx="3">
                  <c:v>4.9210790785697789</c:v>
                </c:pt>
                <c:pt idx="4">
                  <c:v>5.6715343282504271</c:v>
                </c:pt>
                <c:pt idx="5">
                  <c:v>6.3019742033283865</c:v>
                </c:pt>
                <c:pt idx="6">
                  <c:v>7.6727595954769745</c:v>
                </c:pt>
                <c:pt idx="7">
                  <c:v>9.0235519422127588</c:v>
                </c:pt>
                <c:pt idx="8">
                  <c:v>10.151413772604911</c:v>
                </c:pt>
                <c:pt idx="9">
                  <c:v>11.219070910275587</c:v>
                </c:pt>
                <c:pt idx="10">
                  <c:v>12.24010267000304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649-45DC-B2ED-966DC1F77DDF}"/>
            </c:ext>
          </c:extLst>
        </c:ser>
        <c:ser>
          <c:idx val="4"/>
          <c:order val="4"/>
          <c:tx>
            <c:strRef>
              <c:f>'Asia-Pacific'!$Q$38</c:f>
              <c:strCache>
                <c:ptCount val="1"/>
                <c:pt idx="0">
                  <c:v>Rest of Asia Pacific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'Asia-Pacific'!$R$5:$AB$5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'Asia-Pacific'!$R$38:$AB$38</c:f>
              <c:numCache>
                <c:formatCode>_(* #,##0.00_);_(* \(#,##0.00\);_(* "-"??_);_(@_)</c:formatCode>
                <c:ptCount val="11"/>
                <c:pt idx="0">
                  <c:v>2.4570854765069594</c:v>
                </c:pt>
                <c:pt idx="1">
                  <c:v>3.1236159194167445</c:v>
                </c:pt>
                <c:pt idx="2">
                  <c:v>3.7380784877342643</c:v>
                </c:pt>
                <c:pt idx="3">
                  <c:v>4.9630043043503935</c:v>
                </c:pt>
                <c:pt idx="4">
                  <c:v>5.713624022517716</c:v>
                </c:pt>
                <c:pt idx="5">
                  <c:v>6.3441794512290706</c:v>
                </c:pt>
                <c:pt idx="6">
                  <c:v>7.7153724473836949</c:v>
                </c:pt>
                <c:pt idx="7">
                  <c:v>9.066561697521248</c:v>
                </c:pt>
                <c:pt idx="8">
                  <c:v>10.194730023167043</c:v>
                </c:pt>
                <c:pt idx="9">
                  <c:v>11.26266789193795</c:v>
                </c:pt>
                <c:pt idx="10">
                  <c:v>12.283960165575891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0649-45DC-B2ED-966DC1F77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758015"/>
        <c:axId val="359763775"/>
        <c:extLst/>
      </c:barChart>
      <c:catAx>
        <c:axId val="35975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63775"/>
        <c:crosses val="autoZero"/>
        <c:auto val="1"/>
        <c:lblAlgn val="ctr"/>
        <c:lblOffset val="100"/>
        <c:noMultiLvlLbl val="0"/>
      </c:catAx>
      <c:valAx>
        <c:axId val="359763775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5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6143440414980556E-2"/>
          <c:y val="0.84590031038441782"/>
          <c:w val="0.89965021032790948"/>
          <c:h val="0.15409983196762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585362659936567E-2"/>
          <c:y val="3.460159990631937E-2"/>
          <c:w val="0.92682927468012688"/>
          <c:h val="0.678857352133308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'Latin America'!$AK$59</c:f>
              <c:strCache>
                <c:ptCount val="1"/>
                <c:pt idx="0">
                  <c:v>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America'!$AL$58:$AM$58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'Latin America'!$AL$59:$AM$59</c:f>
              <c:numCache>
                <c:formatCode>0.00%</c:formatCode>
                <c:ptCount val="2"/>
                <c:pt idx="0">
                  <c:v>0.18155454545454544</c:v>
                </c:pt>
                <c:pt idx="1">
                  <c:v>0.182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D-416C-B956-EFFFBB860369}"/>
            </c:ext>
          </c:extLst>
        </c:ser>
        <c:ser>
          <c:idx val="1"/>
          <c:order val="1"/>
          <c:tx>
            <c:strRef>
              <c:f>'Latin America'!$AK$60</c:f>
              <c:strCache>
                <c:ptCount val="1"/>
                <c:pt idx="0">
                  <c:v>Military, Defense and Aerospace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America'!$AL$58:$AM$58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'Latin America'!$AL$60:$AM$60</c:f>
              <c:numCache>
                <c:formatCode>0.00%</c:formatCode>
                <c:ptCount val="2"/>
                <c:pt idx="0">
                  <c:v>0.13836363636363638</c:v>
                </c:pt>
                <c:pt idx="1">
                  <c:v>0.13900000000000001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9-4FD3-95D8-334F1CECE55F}"/>
            </c:ext>
          </c:extLst>
        </c:ser>
        <c:ser>
          <c:idx val="2"/>
          <c:order val="2"/>
          <c:tx>
            <c:strRef>
              <c:f>'Latin America'!$AK$61</c:f>
              <c:strCache>
                <c:ptCount val="1"/>
                <c:pt idx="0">
                  <c:v>Consumer 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America'!$AL$58:$AM$58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'Latin America'!$AL$61:$AM$61</c:f>
              <c:numCache>
                <c:formatCode>0.00%</c:formatCode>
                <c:ptCount val="2"/>
                <c:pt idx="0">
                  <c:v>0.21146363636363638</c:v>
                </c:pt>
                <c:pt idx="1">
                  <c:v>0.21000000000000002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F-4E6B-8B3B-08F85FE4FDB0}"/>
            </c:ext>
          </c:extLst>
        </c:ser>
        <c:ser>
          <c:idx val="3"/>
          <c:order val="3"/>
          <c:tx>
            <c:strRef>
              <c:f>'Latin America'!$AK$62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America'!$AL$58:$AM$58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'Latin America'!$AL$62:$AM$62</c:f>
              <c:numCache>
                <c:formatCode>0.00%</c:formatCode>
                <c:ptCount val="2"/>
                <c:pt idx="0">
                  <c:v>0.12268181818181818</c:v>
                </c:pt>
                <c:pt idx="1">
                  <c:v>0.123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FF-4E6B-8B3B-08F85FE4FDB0}"/>
            </c:ext>
          </c:extLst>
        </c:ser>
        <c:ser>
          <c:idx val="4"/>
          <c:order val="4"/>
          <c:tx>
            <c:strRef>
              <c:f>'Latin America'!$AK$63</c:f>
              <c:strCache>
                <c:ptCount val="1"/>
                <c:pt idx="0">
                  <c:v>Healthcare and Medical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America'!$AL$58:$AM$58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'Latin America'!$AL$63:$AM$63</c:f>
              <c:numCache>
                <c:formatCode>0.00%</c:formatCode>
                <c:ptCount val="2"/>
                <c:pt idx="0">
                  <c:v>0.2015909090909091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FF-4E6B-8B3B-08F85FE4FDB0}"/>
            </c:ext>
          </c:extLst>
        </c:ser>
        <c:ser>
          <c:idx val="5"/>
          <c:order val="5"/>
          <c:tx>
            <c:strRef>
              <c:f>'Latin America'!$AK$64</c:f>
              <c:strCache>
                <c:ptCount val="1"/>
                <c:pt idx="0">
                  <c:v>Energy and Power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America'!$AL$58:$AM$58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'Latin America'!$AL$64:$AM$64</c:f>
              <c:numCache>
                <c:formatCode>0.00%</c:formatCode>
                <c:ptCount val="2"/>
                <c:pt idx="0">
                  <c:v>8.5618181818181816E-2</c:v>
                </c:pt>
                <c:pt idx="1">
                  <c:v>8.5999999999999993E-2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FF-4E6B-8B3B-08F85FE4FDB0}"/>
            </c:ext>
          </c:extLst>
        </c:ser>
        <c:ser>
          <c:idx val="6"/>
          <c:order val="6"/>
          <c:tx>
            <c:strRef>
              <c:f>'Latin America'!$AK$65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America'!$AL$58:$AM$58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'Latin America'!$AL$65:$AM$65</c:f>
              <c:numCache>
                <c:formatCode>0.00%</c:formatCode>
                <c:ptCount val="2"/>
                <c:pt idx="0">
                  <c:v>5.8727272727272725E-2</c:v>
                </c:pt>
                <c:pt idx="1">
                  <c:v>5.9999999999999991E-2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6-4732-B7A1-C90BD70642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38633408"/>
        <c:axId val="1538642048"/>
      </c:barChart>
      <c:catAx>
        <c:axId val="153863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642048"/>
        <c:crosses val="autoZero"/>
        <c:auto val="1"/>
        <c:lblAlgn val="ctr"/>
        <c:lblOffset val="100"/>
        <c:noMultiLvlLbl val="0"/>
      </c:catAx>
      <c:valAx>
        <c:axId val="153864204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53863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935469188502173E-2"/>
          <c:y val="0.8198424638360915"/>
          <c:w val="0.963128583996815"/>
          <c:h val="0.180157536163908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637145997759731E-2"/>
          <c:y val="4.6413486689429323E-2"/>
          <c:w val="0.92872570800448051"/>
          <c:h val="0.624499981316822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'Latin America'!$AK$78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America'!$AL$77:$AM$77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'Latin America'!$AL$78:$AM$78</c:f>
              <c:numCache>
                <c:formatCode>0.00%</c:formatCode>
                <c:ptCount val="2"/>
                <c:pt idx="0">
                  <c:v>0.20386363636363633</c:v>
                </c:pt>
                <c:pt idx="1">
                  <c:v>0.20099999999999998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C-466C-8490-7C9BC84F5134}"/>
            </c:ext>
          </c:extLst>
        </c:ser>
        <c:ser>
          <c:idx val="1"/>
          <c:order val="1"/>
          <c:tx>
            <c:strRef>
              <c:f>'Latin America'!$AK$79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America'!$AL$77:$AM$77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'Latin America'!$AL$79:$AM$79</c:f>
              <c:numCache>
                <c:formatCode>0.00%</c:formatCode>
                <c:ptCount val="2"/>
                <c:pt idx="0">
                  <c:v>0.17925454545454544</c:v>
                </c:pt>
                <c:pt idx="1">
                  <c:v>0.17619999999999997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0C-466C-8490-7C9BC84F5134}"/>
            </c:ext>
          </c:extLst>
        </c:ser>
        <c:ser>
          <c:idx val="2"/>
          <c:order val="2"/>
          <c:tx>
            <c:strRef>
              <c:f>'Latin America'!$AK$80</c:f>
              <c:strCache>
                <c:ptCount val="1"/>
                <c:pt idx="0">
                  <c:v>Colombia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America'!$AL$77:$AM$77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'Latin America'!$AL$80:$AM$80</c:f>
              <c:numCache>
                <c:formatCode>0.00%</c:formatCode>
                <c:ptCount val="2"/>
                <c:pt idx="0">
                  <c:v>0.12674545454545455</c:v>
                </c:pt>
                <c:pt idx="1">
                  <c:v>0.12980000000000003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0-4D35-823F-CAB030393F42}"/>
            </c:ext>
          </c:extLst>
        </c:ser>
        <c:ser>
          <c:idx val="3"/>
          <c:order val="3"/>
          <c:tx>
            <c:strRef>
              <c:f>'Latin America'!$AK$81</c:f>
              <c:strCache>
                <c:ptCount val="1"/>
                <c:pt idx="0">
                  <c:v>Peru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America'!$AL$77:$AM$77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'Latin America'!$AL$81:$AM$81</c:f>
              <c:numCache>
                <c:formatCode>0.00%</c:formatCode>
                <c:ptCount val="2"/>
                <c:pt idx="0">
                  <c:v>0.13043636363636363</c:v>
                </c:pt>
                <c:pt idx="1">
                  <c:v>0.13120000000000001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D-4D3A-9CE6-867A8D8F525B}"/>
            </c:ext>
          </c:extLst>
        </c:ser>
        <c:ser>
          <c:idx val="4"/>
          <c:order val="4"/>
          <c:tx>
            <c:strRef>
              <c:f>'Latin America'!$AK$82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America'!$AL$77:$AM$77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'Latin America'!$AL$82:$AM$82</c:f>
              <c:numCache>
                <c:formatCode>0.00%</c:formatCode>
                <c:ptCount val="2"/>
                <c:pt idx="0">
                  <c:v>0.14831818181818182</c:v>
                </c:pt>
                <c:pt idx="1">
                  <c:v>0.14799999999999999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5D-4D3A-9CE6-867A8D8F525B}"/>
            </c:ext>
          </c:extLst>
        </c:ser>
        <c:ser>
          <c:idx val="5"/>
          <c:order val="5"/>
          <c:tx>
            <c:strRef>
              <c:f>'Latin America'!$AK$83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America'!$AL$77:$AM$77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'Latin America'!$AL$83:$AM$83</c:f>
              <c:numCache>
                <c:formatCode>0.00%</c:formatCode>
                <c:ptCount val="2"/>
                <c:pt idx="0">
                  <c:v>0.11047272727272726</c:v>
                </c:pt>
                <c:pt idx="1">
                  <c:v>0.1113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5D-4D3A-9CE6-867A8D8F525B}"/>
            </c:ext>
          </c:extLst>
        </c:ser>
        <c:ser>
          <c:idx val="6"/>
          <c:order val="6"/>
          <c:tx>
            <c:strRef>
              <c:f>'Latin America'!$AK$84</c:f>
              <c:strCache>
                <c:ptCount val="1"/>
                <c:pt idx="0">
                  <c:v>Rest of Latin America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America'!$AL$77:$AM$77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'Latin America'!$AL$84:$AM$84</c:f>
              <c:numCache>
                <c:formatCode>0.00%</c:formatCode>
                <c:ptCount val="2"/>
                <c:pt idx="0">
                  <c:v>0.10090909090909092</c:v>
                </c:pt>
                <c:pt idx="1">
                  <c:v>0.10250000000000001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5D-4D3A-9CE6-867A8D8F52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38629088"/>
        <c:axId val="1538637728"/>
      </c:barChart>
      <c:catAx>
        <c:axId val="153862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637728"/>
        <c:crosses val="autoZero"/>
        <c:auto val="1"/>
        <c:lblAlgn val="ctr"/>
        <c:lblOffset val="100"/>
        <c:noMultiLvlLbl val="0"/>
      </c:catAx>
      <c:valAx>
        <c:axId val="153863772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53862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242482029060756E-2"/>
          <c:y val="0.79784045434549511"/>
          <c:w val="0.94285775495252622"/>
          <c:h val="0.17327379083045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5603478448571E-2"/>
          <c:y val="4.6544433942053681E-2"/>
          <c:w val="0.92887930431028576"/>
          <c:h val="0.704322905293401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'Latin America'!$AK$46</c:f>
              <c:strCache>
                <c:ptCount val="1"/>
                <c:pt idx="0">
                  <c:v>Flexible 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America'!$AL$45:$AM$45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'Latin America'!$AL$46:$AM$46</c:f>
              <c:numCache>
                <c:formatCode>0.00%</c:formatCode>
                <c:ptCount val="2"/>
                <c:pt idx="0">
                  <c:v>0.51781818181818184</c:v>
                </c:pt>
                <c:pt idx="1">
                  <c:v>0.51400000000000001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E-47CC-A8DB-6C6CA4EFF347}"/>
            </c:ext>
          </c:extLst>
        </c:ser>
        <c:ser>
          <c:idx val="1"/>
          <c:order val="1"/>
          <c:tx>
            <c:strRef>
              <c:f>'Latin America'!$AK$47</c:f>
              <c:strCache>
                <c:ptCount val="1"/>
                <c:pt idx="0">
                  <c:v>Flexible Circuit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America'!$AL$45:$AM$45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'Latin America'!$AL$47:$AM$47</c:f>
              <c:numCache>
                <c:formatCode>0.00%</c:formatCode>
                <c:ptCount val="2"/>
                <c:pt idx="0">
                  <c:v>0.48218181818181816</c:v>
                </c:pt>
                <c:pt idx="1">
                  <c:v>0.48599999999999999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0E-47CC-A8DB-6C6CA4EFF3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47407088"/>
        <c:axId val="1547386928"/>
      </c:barChart>
      <c:catAx>
        <c:axId val="154740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386928"/>
        <c:crosses val="autoZero"/>
        <c:auto val="1"/>
        <c:lblAlgn val="ctr"/>
        <c:lblOffset val="100"/>
        <c:noMultiLvlLbl val="0"/>
      </c:catAx>
      <c:valAx>
        <c:axId val="154738692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54740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670689738300165E-2"/>
          <c:y val="0.85560089983560694"/>
          <c:w val="0.95118406955408064"/>
          <c:h val="0.132968764100802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979943818194004E-2"/>
          <c:y val="5.0925907361509419E-2"/>
          <c:w val="0.85834320079734794"/>
          <c:h val="0.652332140300644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'Latin America'!$Q$21</c:f>
              <c:strCache>
                <c:ptCount val="1"/>
                <c:pt idx="0">
                  <c:v>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'Latin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'Latin America'!$R$21:$AB$21</c:f>
              <c:numCache>
                <c:formatCode>_(* #,##0.00_);_(* \(#,##0.00\);_(* "-"??_);_(@_)</c:formatCode>
                <c:ptCount val="11"/>
                <c:pt idx="0">
                  <c:v>2.3963862806838154</c:v>
                </c:pt>
                <c:pt idx="1">
                  <c:v>3.0626133380752485</c:v>
                </c:pt>
                <c:pt idx="2">
                  <c:v>3.6768041922253802</c:v>
                </c:pt>
                <c:pt idx="3">
                  <c:v>4.9010990759082551</c:v>
                </c:pt>
                <c:pt idx="4">
                  <c:v>5.6513690724820487</c:v>
                </c:pt>
                <c:pt idx="5">
                  <c:v>6.2816464320510246</c:v>
                </c:pt>
                <c:pt idx="6">
                  <c:v>7.6521273307922133</c:v>
                </c:pt>
                <c:pt idx="7">
                  <c:v>9.0026183368654866</c:v>
                </c:pt>
                <c:pt idx="8">
                  <c:v>10.130221058730204</c:v>
                </c:pt>
                <c:pt idx="9">
                  <c:v>11.197630217347543</c:v>
                </c:pt>
                <c:pt idx="10">
                  <c:v>12.218422582044752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6-46F1-B6BC-2483F2A1B6F0}"/>
            </c:ext>
          </c:extLst>
        </c:ser>
        <c:ser>
          <c:idx val="1"/>
          <c:order val="1"/>
          <c:tx>
            <c:strRef>
              <c:f>'Latin America'!$Q$22</c:f>
              <c:strCache>
                <c:ptCount val="1"/>
                <c:pt idx="0">
                  <c:v>Military, Defense and Aerospace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'Latin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'Latin America'!$R$22:$AB$22</c:f>
              <c:numCache>
                <c:formatCode>_(* #,##0.00_);_(* \(#,##0.00\);_(* "-"??_);_(@_)</c:formatCode>
                <c:ptCount val="11"/>
                <c:pt idx="0">
                  <c:v>2.4278888556646505</c:v>
                </c:pt>
                <c:pt idx="1">
                  <c:v>3.094288891749053</c:v>
                </c:pt>
                <c:pt idx="2">
                  <c:v>3.7086363844035075</c:v>
                </c:pt>
                <c:pt idx="3">
                  <c:v>4.9332747095411911</c:v>
                </c:pt>
                <c:pt idx="4">
                  <c:v>5.6837421929555543</c:v>
                </c:pt>
                <c:pt idx="5">
                  <c:v>6.3141798964897244</c:v>
                </c:pt>
                <c:pt idx="6">
                  <c:v>7.6850471545728327</c:v>
                </c:pt>
                <c:pt idx="7">
                  <c:v>9.0359176213393724</c:v>
                </c:pt>
                <c:pt idx="8">
                  <c:v>10.163831004239476</c:v>
                </c:pt>
                <c:pt idx="9">
                  <c:v>11.231531832925935</c:v>
                </c:pt>
                <c:pt idx="10">
                  <c:v>12.25260106858428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F8B6-46F1-B6BC-2483F2A1B6F0}"/>
            </c:ext>
          </c:extLst>
        </c:ser>
        <c:ser>
          <c:idx val="2"/>
          <c:order val="2"/>
          <c:tx>
            <c:strRef>
              <c:f>'Latin America'!$Q$23</c:f>
              <c:strCache>
                <c:ptCount val="1"/>
                <c:pt idx="0">
                  <c:v>Consumer 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'Latin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'Latin America'!$R$23:$AB$23</c:f>
              <c:numCache>
                <c:formatCode>_(* #,##0.00_);_(* \(#,##0.00\);_(* "-"??_);_(@_)</c:formatCode>
                <c:ptCount val="11"/>
                <c:pt idx="0">
                  <c:v>2.2596445297441425</c:v>
                </c:pt>
                <c:pt idx="1">
                  <c:v>2.9248945347303046</c:v>
                </c:pt>
                <c:pt idx="2">
                  <c:v>3.5381765776170582</c:v>
                </c:pt>
                <c:pt idx="3">
                  <c:v>4.7607450992314115</c:v>
                </c:pt>
                <c:pt idx="4">
                  <c:v>5.5099210679532939</c:v>
                </c:pt>
                <c:pt idx="5">
                  <c:v>6.139263654899807</c:v>
                </c:pt>
                <c:pt idx="6">
                  <c:v>7.5078162194424092</c:v>
                </c:pt>
                <c:pt idx="7">
                  <c:v>8.8564031332446724</c:v>
                </c:pt>
                <c:pt idx="8">
                  <c:v>9.9823983885389609</c:v>
                </c:pt>
                <c:pt idx="9">
                  <c:v>11.048278756921803</c:v>
                </c:pt>
                <c:pt idx="10">
                  <c:v>12.067602909580266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F8B6-46F1-B6BC-2483F2A1B6F0}"/>
            </c:ext>
          </c:extLst>
        </c:ser>
        <c:ser>
          <c:idx val="3"/>
          <c:order val="3"/>
          <c:tx>
            <c:strRef>
              <c:f>'Latin America'!$Q$24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'Latin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'Latin America'!$R$24:$AB$24</c:f>
              <c:numCache>
                <c:formatCode>_(* #,##0.00_);_(* \(#,##0.00\);_(* "-"??_);_(@_)</c:formatCode>
                <c:ptCount val="11"/>
                <c:pt idx="0">
                  <c:v>2.3984393410603655</c:v>
                </c:pt>
                <c:pt idx="1">
                  <c:v>3.0646782653762639</c:v>
                </c:pt>
                <c:pt idx="2">
                  <c:v>3.6788799269706018</c:v>
                </c:pt>
                <c:pt idx="3">
                  <c:v>4.9031978081879757</c:v>
                </c:pt>
                <c:pt idx="4">
                  <c:v>5.6534812917339083</c:v>
                </c:pt>
                <c:pt idx="5">
                  <c:v>6.2837697210891497</c:v>
                </c:pt>
                <c:pt idx="6">
                  <c:v>7.6542764502190108</c:v>
                </c:pt>
                <c:pt idx="7">
                  <c:v>9.0047928501538301</c:v>
                </c:pt>
                <c:pt idx="8">
                  <c:v>10.132416485531337</c:v>
                </c:pt>
                <c:pt idx="9">
                  <c:v>11.199845327920887</c:v>
                </c:pt>
                <c:pt idx="10">
                  <c:v>12.220656419548126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F8B6-46F1-B6BC-2483F2A1B6F0}"/>
            </c:ext>
          </c:extLst>
        </c:ser>
        <c:ser>
          <c:idx val="4"/>
          <c:order val="4"/>
          <c:tx>
            <c:strRef>
              <c:f>'Latin America'!$Q$25</c:f>
              <c:strCache>
                <c:ptCount val="1"/>
                <c:pt idx="0">
                  <c:v>Healthcare and Medical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'Latin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'Latin America'!$R$25:$AB$25</c:f>
              <c:numCache>
                <c:formatCode>_(* #,##0.00_);_(* \(#,##0.00\);_(* "-"??_);_(@_)</c:formatCode>
                <c:ptCount val="11"/>
                <c:pt idx="0">
                  <c:v>2.2455750554924103</c:v>
                </c:pt>
                <c:pt idx="1">
                  <c:v>2.9107036301137645</c:v>
                </c:pt>
                <c:pt idx="2">
                  <c:v>3.5238709408457636</c:v>
                </c:pt>
                <c:pt idx="3">
                  <c:v>4.7462399144818646</c:v>
                </c:pt>
                <c:pt idx="4">
                  <c:v>5.4952812065895751</c:v>
                </c:pt>
                <c:pt idx="5">
                  <c:v>6.124505240740441</c:v>
                </c:pt>
                <c:pt idx="6">
                  <c:v>7.4928357783791588</c:v>
                </c:pt>
                <c:pt idx="7">
                  <c:v>8.8412025427692562</c:v>
                </c:pt>
                <c:pt idx="8">
                  <c:v>9.9670078942923688</c:v>
                </c:pt>
                <c:pt idx="9">
                  <c:v>11.032706014502857</c:v>
                </c:pt>
                <c:pt idx="10">
                  <c:v>12.051853719397855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F8B6-46F1-B6BC-2483F2A1B6F0}"/>
            </c:ext>
          </c:extLst>
        </c:ser>
        <c:ser>
          <c:idx val="5"/>
          <c:order val="5"/>
          <c:tx>
            <c:strRef>
              <c:f>'Latin America'!$Q$26</c:f>
              <c:strCache>
                <c:ptCount val="1"/>
                <c:pt idx="0">
                  <c:v>Energy and Power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'Latin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'Latin America'!$R$26:$AB$26</c:f>
              <c:numCache>
                <c:formatCode>_(* #,##0.00_);_(* \(#,##0.00\);_(* "-"??_);_(@_)</c:formatCode>
                <c:ptCount val="11"/>
                <c:pt idx="0">
                  <c:v>2.4258359172327326</c:v>
                </c:pt>
                <c:pt idx="1">
                  <c:v>3.0922252742642486</c:v>
                </c:pt>
                <c:pt idx="2">
                  <c:v>3.7065631578210301</c:v>
                </c:pt>
                <c:pt idx="3">
                  <c:v>4.9311797159993231</c:v>
                </c:pt>
                <c:pt idx="4">
                  <c:v>5.6816349450704129</c:v>
                </c:pt>
                <c:pt idx="5">
                  <c:v>6.3120628178903182</c:v>
                </c:pt>
                <c:pt idx="6">
                  <c:v>7.6829055469733509</c:v>
                </c:pt>
                <c:pt idx="7">
                  <c:v>9.0337519470027328</c:v>
                </c:pt>
                <c:pt idx="8">
                  <c:v>10.161645749703908</c:v>
                </c:pt>
                <c:pt idx="9">
                  <c:v>11.229328243333846</c:v>
                </c:pt>
                <c:pt idx="10">
                  <c:v>12.250380115611081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F8B6-46F1-B6BC-2483F2A1B6F0}"/>
            </c:ext>
          </c:extLst>
        </c:ser>
        <c:ser>
          <c:idx val="6"/>
          <c:order val="6"/>
          <c:tx>
            <c:strRef>
              <c:f>'Latin America'!$Q$27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'Latin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'Latin America'!$R$27:$AB$27</c:f>
              <c:numCache>
                <c:formatCode>_(* #,##0.00_);_(* \(#,##0.00\);_(* "-"??_);_(@_)</c:formatCode>
                <c:ptCount val="11"/>
                <c:pt idx="0">
                  <c:v>2.6813369019125677</c:v>
                </c:pt>
                <c:pt idx="1">
                  <c:v>3.3484214007564628</c:v>
                </c:pt>
                <c:pt idx="2">
                  <c:v>3.9633193279188905</c:v>
                </c:pt>
                <c:pt idx="3">
                  <c:v>5.1899959989053501</c:v>
                </c:pt>
                <c:pt idx="4">
                  <c:v>5.9413297856556468</c:v>
                </c:pt>
                <c:pt idx="5">
                  <c:v>6.5723348122731728</c:v>
                </c:pt>
                <c:pt idx="6">
                  <c:v>7.9455553443096738</c:v>
                </c:pt>
                <c:pt idx="7">
                  <c:v>9.2987123395327664</c:v>
                </c:pt>
                <c:pt idx="8">
                  <c:v>10.428358867379984</c:v>
                </c:pt>
                <c:pt idx="9">
                  <c:v>11.497634914164912</c:v>
                </c:pt>
                <c:pt idx="10">
                  <c:v>12.520155539653688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1-4E43-A60E-FB3DC7E86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778175"/>
        <c:axId val="359779615"/>
        <c:extLst/>
      </c:barChart>
      <c:catAx>
        <c:axId val="359778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79615"/>
        <c:crosses val="autoZero"/>
        <c:auto val="1"/>
        <c:lblAlgn val="ctr"/>
        <c:lblOffset val="100"/>
        <c:noMultiLvlLbl val="0"/>
      </c:catAx>
      <c:valAx>
        <c:axId val="359779615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7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0775523193291843E-2"/>
          <c:y val="0.8119738725841088"/>
          <c:w val="0.95168069983899706"/>
          <c:h val="0.165298854688618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30522433200112E-2"/>
          <c:y val="5.0381685445895948E-2"/>
          <c:w val="0.83430545061363004"/>
          <c:h val="0.676701310078445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'Latin America'!$Q$30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'Latin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'Latin America'!$R$30:$AB$30</c:f>
              <c:numCache>
                <c:formatCode>_(* #,##0.00_);_(* \(#,##0.00\);_(* "-"??_);_(@_)</c:formatCode>
                <c:ptCount val="11"/>
                <c:pt idx="0">
                  <c:v>2.1566877352604763</c:v>
                </c:pt>
                <c:pt idx="1">
                  <c:v>2.8209587873901043</c:v>
                </c:pt>
                <c:pt idx="2">
                  <c:v>3.4333090680424672</c:v>
                </c:pt>
                <c:pt idx="3">
                  <c:v>4.6543217043013563</c:v>
                </c:pt>
                <c:pt idx="4">
                  <c:v>5.4024152214873444</c:v>
                </c:pt>
                <c:pt idx="5">
                  <c:v>6.0307917457080196</c:v>
                </c:pt>
                <c:pt idx="6">
                  <c:v>7.3976151358105868</c:v>
                </c:pt>
                <c:pt idx="7">
                  <c:v>8.7444834155395945</c:v>
                </c:pt>
                <c:pt idx="8">
                  <c:v>9.8689796503816041</c:v>
                </c:pt>
                <c:pt idx="9">
                  <c:v>10.933414564973054</c:v>
                </c:pt>
                <c:pt idx="10">
                  <c:v>11.951333268363173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E-4D62-B640-56B629C4D0F8}"/>
            </c:ext>
          </c:extLst>
        </c:ser>
        <c:ser>
          <c:idx val="1"/>
          <c:order val="1"/>
          <c:tx>
            <c:strRef>
              <c:f>'Latin America'!$Q$31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'Latin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'Latin America'!$R$31:$AB$31</c:f>
              <c:numCache>
                <c:formatCode>_(* #,##0.00_);_(* \(#,##0.00\);_(* "-"??_);_(@_)</c:formatCode>
                <c:ptCount val="11"/>
                <c:pt idx="0">
                  <c:v>2.1136821354071689</c:v>
                </c:pt>
                <c:pt idx="1">
                  <c:v>2.7774822165572255</c:v>
                </c:pt>
                <c:pt idx="2">
                  <c:v>3.3893798219782445</c:v>
                </c:pt>
                <c:pt idx="3">
                  <c:v>4.6096765337522827</c:v>
                </c:pt>
                <c:pt idx="4">
                  <c:v>5.3572508282653475</c:v>
                </c:pt>
                <c:pt idx="5">
                  <c:v>5.9851554642996296</c:v>
                </c:pt>
                <c:pt idx="6">
                  <c:v>7.3511839409929225</c:v>
                </c:pt>
                <c:pt idx="7">
                  <c:v>8.6972593033134427</c:v>
                </c:pt>
                <c:pt idx="8">
                  <c:v>9.8210529650516918</c:v>
                </c:pt>
                <c:pt idx="9">
                  <c:v>10.884805773136241</c:v>
                </c:pt>
                <c:pt idx="10">
                  <c:v>11.902057172801793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DE-4D62-B640-56B629C4D0F8}"/>
            </c:ext>
          </c:extLst>
        </c:ser>
        <c:ser>
          <c:idx val="2"/>
          <c:order val="2"/>
          <c:tx>
            <c:strRef>
              <c:f>'Latin America'!$Q$32</c:f>
              <c:strCache>
                <c:ptCount val="1"/>
                <c:pt idx="0">
                  <c:v>Colombia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'Latin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'Latin America'!$R$32:$AB$32</c:f>
              <c:numCache>
                <c:formatCode>_(* #,##0.00_);_(* \(#,##0.00\);_(* "-"??_);_(@_)</c:formatCode>
                <c:ptCount val="11"/>
                <c:pt idx="0">
                  <c:v>2.717788776512764</c:v>
                </c:pt>
                <c:pt idx="1">
                  <c:v>3.3848685616452601</c:v>
                </c:pt>
                <c:pt idx="2">
                  <c:v>3.999742768549841</c:v>
                </c:pt>
                <c:pt idx="3">
                  <c:v>5.2266081841661149</c:v>
                </c:pt>
                <c:pt idx="4">
                  <c:v>5.9779631125082666</c:v>
                </c:pt>
                <c:pt idx="5">
                  <c:v>6.6089468949644958</c:v>
                </c:pt>
                <c:pt idx="6">
                  <c:v>7.9823990204682449</c:v>
                </c:pt>
                <c:pt idx="7">
                  <c:v>9.3357770522508154</c:v>
                </c:pt>
                <c:pt idx="8">
                  <c:v>10.465565701391832</c:v>
                </c:pt>
                <c:pt idx="9">
                  <c:v>11.534961073514971</c:v>
                </c:pt>
                <c:pt idx="10">
                  <c:v>12.557583185675325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8F9-42C8-A583-EBC3FD4E1258}"/>
            </c:ext>
          </c:extLst>
        </c:ser>
        <c:ser>
          <c:idx val="3"/>
          <c:order val="3"/>
          <c:tx>
            <c:strRef>
              <c:f>'Latin America'!$Q$33</c:f>
              <c:strCache>
                <c:ptCount val="1"/>
                <c:pt idx="0">
                  <c:v>Peru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'Latin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'Latin America'!$R$33:$AB$33</c:f>
              <c:numCache>
                <c:formatCode>_(* #,##0.00_);_(* \(#,##0.00\);_(* "-"??_);_(@_)</c:formatCode>
                <c:ptCount val="11"/>
                <c:pt idx="0">
                  <c:v>2.4463546116947121</c:v>
                </c:pt>
                <c:pt idx="1">
                  <c:v>3.1128469859550645</c:v>
                </c:pt>
                <c:pt idx="2">
                  <c:v>3.727277164394982</c:v>
                </c:pt>
                <c:pt idx="3">
                  <c:v>4.9521074388749087</c:v>
                </c:pt>
                <c:pt idx="4">
                  <c:v>5.702681304188939</c:v>
                </c:pt>
                <c:pt idx="5">
                  <c:v>6.3332035737571735</c:v>
                </c:pt>
                <c:pt idx="6">
                  <c:v>7.704287418868927</c:v>
                </c:pt>
                <c:pt idx="7">
                  <c:v>9.0553702393187496</c:v>
                </c:pt>
                <c:pt idx="8">
                  <c:v>10.183455605367131</c:v>
                </c:pt>
                <c:pt idx="9">
                  <c:v>11.251317174269261</c:v>
                </c:pt>
                <c:pt idx="10">
                  <c:v>12.272538368886821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B8F9-42C8-A583-EBC3FD4E1258}"/>
            </c:ext>
          </c:extLst>
        </c:ser>
        <c:ser>
          <c:idx val="4"/>
          <c:order val="4"/>
          <c:tx>
            <c:strRef>
              <c:f>'Latin America'!$Q$34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'Latin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'Latin America'!$R$34:$AB$34</c:f>
              <c:numCache>
                <c:formatCode>_(* #,##0.00_);_(* \(#,##0.00\);_(* "-"??_);_(@_)</c:formatCode>
                <c:ptCount val="11"/>
                <c:pt idx="0">
                  <c:v>2.3291260872027264</c:v>
                </c:pt>
                <c:pt idx="1">
                  <c:v>2.9949185505246723</c:v>
                </c:pt>
                <c:pt idx="2">
                  <c:v>3.608709012309208</c:v>
                </c:pt>
                <c:pt idx="3">
                  <c:v>4.8322028244190074</c:v>
                </c:pt>
                <c:pt idx="4">
                  <c:v>5.5819831185620172</c:v>
                </c:pt>
                <c:pt idx="5">
                  <c:v>6.2118496048621408</c:v>
                </c:pt>
                <c:pt idx="6">
                  <c:v>7.5814335691525514</c:v>
                </c:pt>
                <c:pt idx="7">
                  <c:v>8.9310408301337407</c:v>
                </c:pt>
                <c:pt idx="8">
                  <c:v>10.057906223202862</c:v>
                </c:pt>
                <c:pt idx="9">
                  <c:v>11.124617624199985</c:v>
                </c:pt>
                <c:pt idx="10">
                  <c:v>12.144742882751359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BAAC-473B-8E1C-21DDB68E54F8}"/>
            </c:ext>
          </c:extLst>
        </c:ser>
        <c:ser>
          <c:idx val="5"/>
          <c:order val="5"/>
          <c:tx>
            <c:strRef>
              <c:f>'Latin America'!$Q$35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'Latin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'Latin America'!$R$35:$AB$35</c:f>
              <c:numCache>
                <c:formatCode>_(* #,##0.00_);_(* \(#,##0.00\);_(* "-"??_);_(@_)</c:formatCode>
                <c:ptCount val="11"/>
                <c:pt idx="0">
                  <c:v>2.4704317695827926</c:v>
                </c:pt>
                <c:pt idx="1">
                  <c:v>3.1370344957216911</c:v>
                </c:pt>
                <c:pt idx="2">
                  <c:v>3.751562372581696</c:v>
                </c:pt>
                <c:pt idx="3">
                  <c:v>4.9766325674815315</c:v>
                </c:pt>
                <c:pt idx="4">
                  <c:v>5.7273347831093835</c:v>
                </c:pt>
                <c:pt idx="5">
                  <c:v>6.3579569239397893</c:v>
                </c:pt>
                <c:pt idx="6">
                  <c:v>7.729312284650347</c:v>
                </c:pt>
                <c:pt idx="7">
                  <c:v>9.0806609070863011</c:v>
                </c:pt>
                <c:pt idx="8">
                  <c:v>10.208959405670015</c:v>
                </c:pt>
                <c:pt idx="9">
                  <c:v>11.27701934099945</c:v>
                </c:pt>
                <c:pt idx="10">
                  <c:v>12.29842735089608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1E96-4098-A029-1C51DED801B0}"/>
            </c:ext>
          </c:extLst>
        </c:ser>
        <c:ser>
          <c:idx val="6"/>
          <c:order val="6"/>
          <c:tx>
            <c:strRef>
              <c:f>'Latin America'!$Q$36</c:f>
              <c:strCache>
                <c:ptCount val="1"/>
                <c:pt idx="0">
                  <c:v>Rest of Latin America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'Latin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'Latin America'!$R$36:$AB$36</c:f>
              <c:numCache>
                <c:formatCode>_(* #,##0.00_);_(* \(#,##0.00\);_(* "-"??_);_(@_)</c:formatCode>
                <c:ptCount val="11"/>
                <c:pt idx="0">
                  <c:v>2.5930951280124903</c:v>
                </c:pt>
                <c:pt idx="1">
                  <c:v>3.2600838007854849</c:v>
                </c:pt>
                <c:pt idx="2">
                  <c:v>3.87493253694422</c:v>
                </c:pt>
                <c:pt idx="3">
                  <c:v>5.1010444406732969</c:v>
                </c:pt>
                <c:pt idx="4">
                  <c:v>5.8522205312341091</c:v>
                </c:pt>
                <c:pt idx="5">
                  <c:v>6.4831714414017139</c:v>
                </c:pt>
                <c:pt idx="6">
                  <c:v>7.8557219775275078</c:v>
                </c:pt>
                <c:pt idx="7">
                  <c:v>9.20823389202965</c:v>
                </c:pt>
                <c:pt idx="8">
                  <c:v>10.337427414425427</c:v>
                </c:pt>
                <c:pt idx="9">
                  <c:v>11.40630589645848</c:v>
                </c:pt>
                <c:pt idx="10">
                  <c:v>12.428472449954707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EDE-41A7-B82B-43F31C0C7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793535"/>
        <c:axId val="359794975"/>
        <c:extLst/>
      </c:barChart>
      <c:catAx>
        <c:axId val="359793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94975"/>
        <c:crosses val="autoZero"/>
        <c:auto val="1"/>
        <c:lblAlgn val="ctr"/>
        <c:lblOffset val="100"/>
        <c:noMultiLvlLbl val="0"/>
      </c:catAx>
      <c:valAx>
        <c:axId val="359794975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9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323627726349703E-2"/>
          <c:y val="0.84717339888783494"/>
          <c:w val="0.94695148479353164"/>
          <c:h val="0.139969372335349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58705161854774E-2"/>
          <c:y val="4.1666666666666664E-2"/>
          <c:w val="0.84320384951881011"/>
          <c:h val="0.68876165125861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'Latin America'!$Q$8</c:f>
              <c:strCache>
                <c:ptCount val="1"/>
                <c:pt idx="0">
                  <c:v>Flexible 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'Latin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'Latin America'!$R$8:$AB$8</c:f>
              <c:numCache>
                <c:formatCode>_(* #,##0.00_);_(* \(#,##0.00\);_(* "-"??_);_(@_)</c:formatCode>
                <c:ptCount val="11"/>
                <c:pt idx="0">
                  <c:v>2.2530866145932915</c:v>
                </c:pt>
                <c:pt idx="1">
                  <c:v>2.9182805056421124</c:v>
                </c:pt>
                <c:pt idx="2">
                  <c:v>3.5315095655774176</c:v>
                </c:pt>
                <c:pt idx="3">
                  <c:v>4.7539855884276561</c:v>
                </c:pt>
                <c:pt idx="4">
                  <c:v>5.5030993014173468</c:v>
                </c:pt>
                <c:pt idx="5">
                  <c:v>6.1323871556789422</c:v>
                </c:pt>
                <c:pt idx="6">
                  <c:v>7.5008367879171534</c:v>
                </c:pt>
                <c:pt idx="7">
                  <c:v>8.8493216605561429</c:v>
                </c:pt>
                <c:pt idx="8">
                  <c:v>9.9752289805194128</c:v>
                </c:pt>
                <c:pt idx="9">
                  <c:v>11.041024993883909</c:v>
                </c:pt>
                <c:pt idx="10">
                  <c:v>12.060267507000443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6-4501-9CA7-3577CB211434}"/>
            </c:ext>
          </c:extLst>
        </c:ser>
        <c:ser>
          <c:idx val="5"/>
          <c:order val="5"/>
          <c:tx>
            <c:strRef>
              <c:f>'Latin America'!$Q$13</c:f>
              <c:strCache>
                <c:ptCount val="1"/>
                <c:pt idx="0">
                  <c:v>Flexible Circuit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'Latin America'!$R$5:$AB$5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'Latin America'!$R$13:$AB$13</c:f>
              <c:numCache>
                <c:formatCode>_(* #,##0.00_);_(* \(#,##0.00\);_(* "-"??_);_(@_)</c:formatCode>
                <c:ptCount val="11"/>
                <c:pt idx="0">
                  <c:v>2.4767764260532843</c:v>
                </c:pt>
                <c:pt idx="1">
                  <c:v>3.1434063392615341</c:v>
                </c:pt>
                <c:pt idx="2">
                  <c:v>3.7579580578559257</c:v>
                </c:pt>
                <c:pt idx="3">
                  <c:v>4.9830895276671061</c:v>
                </c:pt>
                <c:pt idx="4">
                  <c:v>5.7338236197649328</c:v>
                </c:pt>
                <c:pt idx="5">
                  <c:v>6.3644701279457205</c:v>
                </c:pt>
                <c:pt idx="6">
                  <c:v>7.7358949953636902</c:v>
                </c:pt>
                <c:pt idx="7">
                  <c:v>9.0873115844104504</c:v>
                </c:pt>
                <c:pt idx="8">
                  <c:v>10.215664166611592</c:v>
                </c:pt>
                <c:pt idx="9">
                  <c:v>11.283774276424886</c:v>
                </c:pt>
                <c:pt idx="10">
                  <c:v>12.305229399858852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3-4D6A-BA1A-88564618E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8858864"/>
        <c:axId val="169408539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'Latin America'!$Q$9</c15:sqref>
                        </c15:formulaRef>
                      </c:ext>
                    </c:extLst>
                    <c:strCache>
                      <c:ptCount val="1"/>
                      <c:pt idx="0">
                        <c:v>Flexible Displays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'Latin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'Latin America'!$R$9:$AB$9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2.1451634685397902</c:v>
                      </c:pt>
                      <c:pt idx="1">
                        <c:v>2.809311904659384</c:v>
                      </c:pt>
                      <c:pt idx="2">
                        <c:v>3.4215445621357699</c:v>
                      </c:pt>
                      <c:pt idx="3">
                        <c:v>4.6423691881441354</c:v>
                      </c:pt>
                      <c:pt idx="4">
                        <c:v>5.390327475410861</c:v>
                      </c:pt>
                      <c:pt idx="5">
                        <c:v>6.018581537386547</c:v>
                      </c:pt>
                      <c:pt idx="6">
                        <c:v>7.3851961613047523</c:v>
                      </c:pt>
                      <c:pt idx="7">
                        <c:v>8.7318563596718199</c:v>
                      </c:pt>
                      <c:pt idx="8">
                        <c:v>9.8561688139978685</c:v>
                      </c:pt>
                      <c:pt idx="9">
                        <c:v>10.920425554348</c:v>
                      </c:pt>
                      <c:pt idx="10">
                        <c:v>11.938170172415873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A26-4501-9CA7-3577CB21143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America'!$Q$10</c15:sqref>
                        </c15:formulaRef>
                      </c:ext>
                    </c:extLst>
                    <c:strCache>
                      <c:ptCount val="1"/>
                      <c:pt idx="0">
                        <c:v>Flexible Batteries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America'!$R$10:$AB$10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2.4039413509947316</c:v>
                      </c:pt>
                      <c:pt idx="1">
                        <c:v>3.0702116692902681</c:v>
                      </c:pt>
                      <c:pt idx="2">
                        <c:v>3.684441881630951</c:v>
                      </c:pt>
                      <c:pt idx="3">
                        <c:v>4.9088209707528696</c:v>
                      </c:pt>
                      <c:pt idx="4">
                        <c:v>5.6591401735735847</c:v>
                      </c:pt>
                      <c:pt idx="5">
                        <c:v>6.289457841792867</c:v>
                      </c:pt>
                      <c:pt idx="6">
                        <c:v>7.6600333453421321</c:v>
                      </c:pt>
                      <c:pt idx="7">
                        <c:v>9.0106173406389942</c:v>
                      </c:pt>
                      <c:pt idx="8">
                        <c:v>10.13829656190417</c:v>
                      </c:pt>
                      <c:pt idx="9">
                        <c:v>11.205777688920193</c:v>
                      </c:pt>
                      <c:pt idx="10">
                        <c:v>12.226638495451269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A26-4501-9CA7-3577CB21143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America'!$Q$11</c15:sqref>
                        </c15:formulaRef>
                      </c:ext>
                    </c:extLst>
                    <c:strCache>
                      <c:ptCount val="1"/>
                      <c:pt idx="0">
                        <c:v>Flexible Sensors 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America'!$R$11:$AB$11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2.1624684441635456</c:v>
                      </c:pt>
                      <c:pt idx="1">
                        <c:v>2.8268000123443215</c:v>
                      </c:pt>
                      <c:pt idx="2">
                        <c:v>3.4392082807130908</c:v>
                      </c:pt>
                      <c:pt idx="3">
                        <c:v>4.6603141696592854</c:v>
                      </c:pt>
                      <c:pt idx="4">
                        <c:v>5.4084744460844547</c:v>
                      </c:pt>
                      <c:pt idx="5">
                        <c:v>6.0369113032403554</c:v>
                      </c:pt>
                      <c:pt idx="6">
                        <c:v>7.4038382476278253</c:v>
                      </c:pt>
                      <c:pt idx="7">
                        <c:v>8.7508096980754004</c:v>
                      </c:pt>
                      <c:pt idx="8">
                        <c:v>9.8753968902061118</c:v>
                      </c:pt>
                      <c:pt idx="9">
                        <c:v>10.939919917705577</c:v>
                      </c:pt>
                      <c:pt idx="10">
                        <c:v>11.95792465069816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A26-4501-9CA7-3577CB21143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America'!$Q$12</c15:sqref>
                        </c15:formulaRef>
                      </c:ext>
                    </c:extLst>
                    <c:strCache>
                      <c:ptCount val="1"/>
                      <c:pt idx="0">
                        <c:v>Flexible Memory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America'!$R$12:$AB$12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2.4065245367512089</c:v>
                      </c:pt>
                      <c:pt idx="1">
                        <c:v>3.072809389363762</c:v>
                      </c:pt>
                      <c:pt idx="2">
                        <c:v>3.6870527991963442</c:v>
                      </c:pt>
                      <c:pt idx="3">
                        <c:v>4.9114604127420414</c:v>
                      </c:pt>
                      <c:pt idx="4">
                        <c:v>5.6617961725450083</c:v>
                      </c:pt>
                      <c:pt idx="5">
                        <c:v>6.2921273539501277</c:v>
                      </c:pt>
                      <c:pt idx="6">
                        <c:v>7.6627349218280738</c:v>
                      </c:pt>
                      <c:pt idx="7">
                        <c:v>9.0133504233101078</c:v>
                      </c:pt>
                      <c:pt idx="8">
                        <c:v>10.141055511090169</c:v>
                      </c:pt>
                      <c:pt idx="9">
                        <c:v>11.208560951882053</c:v>
                      </c:pt>
                      <c:pt idx="10">
                        <c:v>12.229444863005522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113-4D6A-BA1A-88564618EC0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America'!$Q$14</c15:sqref>
                        </c15:formulaRef>
                      </c:ext>
                    </c:extLst>
                    <c:strCache>
                      <c:ptCount val="1"/>
                      <c:pt idx="0">
                        <c:v>Single Sided Flex Circuit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America'!$R$14:$AB$14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2.5077947465757422</c:v>
                      </c:pt>
                      <c:pt idx="1">
                        <c:v>3.1745462200585939</c:v>
                      </c:pt>
                      <c:pt idx="2">
                        <c:v>3.7892030917021424</c:v>
                      </c:pt>
                      <c:pt idx="3">
                        <c:v>5.0146224696369313</c:v>
                      </c:pt>
                      <c:pt idx="4">
                        <c:v>5.7655007687208659</c:v>
                      </c:pt>
                      <c:pt idx="5">
                        <c:v>6.3962547594540453</c:v>
                      </c:pt>
                      <c:pt idx="6">
                        <c:v>7.7680072585723847</c:v>
                      </c:pt>
                      <c:pt idx="7">
                        <c:v>9.1197437581182363</c:v>
                      </c:pt>
                      <c:pt idx="8">
                        <c:v>10.248348369739603</c:v>
                      </c:pt>
                      <c:pt idx="9">
                        <c:v>11.316691304258297</c:v>
                      </c:pt>
                      <c:pt idx="10">
                        <c:v>12.338364200482065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113-4D6A-BA1A-88564618EC0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America'!$Q$15</c15:sqref>
                        </c15:formulaRef>
                      </c:ext>
                    </c:extLst>
                    <c:strCache>
                      <c:ptCount val="1"/>
                      <c:pt idx="0">
                        <c:v>Double Sided Flex Circuit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America'!$R$15:$AB$15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2.4490814970153929</c:v>
                      </c:pt>
                      <c:pt idx="1">
                        <c:v>3.1155869401849445</c:v>
                      </c:pt>
                      <c:pt idx="2">
                        <c:v>3.7300287580736224</c:v>
                      </c:pt>
                      <c:pt idx="3">
                        <c:v>4.9548867931778151</c:v>
                      </c:pt>
                      <c:pt idx="4">
                        <c:v>5.7054757828946201</c:v>
                      </c:pt>
                      <c:pt idx="5">
                        <c:v>6.3360099531138747</c:v>
                      </c:pt>
                      <c:pt idx="6">
                        <c:v>7.7071251665280949</c:v>
                      </c:pt>
                      <c:pt idx="7">
                        <c:v>9.0582387189275249</c:v>
                      </c:pt>
                      <c:pt idx="8">
                        <c:v>10.186348853294458</c:v>
                      </c:pt>
                      <c:pt idx="9">
                        <c:v>11.254233523957581</c:v>
                      </c:pt>
                      <c:pt idx="10">
                        <c:v>12.275476517593198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113-4D6A-BA1A-88564618EC0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America'!$Q$16</c15:sqref>
                        </c15:formulaRef>
                      </c:ext>
                    </c:extLst>
                    <c:strCache>
                      <c:ptCount val="1"/>
                      <c:pt idx="0">
                        <c:v>Multilayer Flex Circuit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America'!$R$16:$AB$16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2.3976797087210455</c:v>
                      </c:pt>
                      <c:pt idx="1">
                        <c:v>3.0639142519255591</c:v>
                      </c:pt>
                      <c:pt idx="2">
                        <c:v>3.6781119245102412</c:v>
                      </c:pt>
                      <c:pt idx="3">
                        <c:v>4.9024213066491518</c:v>
                      </c:pt>
                      <c:pt idx="4">
                        <c:v>5.6526998100546066</c:v>
                      </c:pt>
                      <c:pt idx="5">
                        <c:v>6.2829841536903075</c:v>
                      </c:pt>
                      <c:pt idx="6">
                        <c:v>7.6534813361868403</c:v>
                      </c:pt>
                      <c:pt idx="7">
                        <c:v>9.0039883512223149</c:v>
                      </c:pt>
                      <c:pt idx="8">
                        <c:v>10.1316042594914</c:v>
                      </c:pt>
                      <c:pt idx="9">
                        <c:v>11.199025829911967</c:v>
                      </c:pt>
                      <c:pt idx="10">
                        <c:v>12.219830003732636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113-4D6A-BA1A-88564618EC0B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America'!$Q$17</c15:sqref>
                        </c15:formulaRef>
                      </c:ext>
                    </c:extLst>
                    <c:strCache>
                      <c:ptCount val="1"/>
                      <c:pt idx="0">
                        <c:v>Rigid Flex Circuit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America'!$R$17:$AB$17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2.5730833083206006</c:v>
                      </c:pt>
                      <c:pt idx="1">
                        <c:v>3.2400291062647968</c:v>
                      </c:pt>
                      <c:pt idx="2">
                        <c:v>3.8548456076561655</c:v>
                      </c:pt>
                      <c:pt idx="3">
                        <c:v>5.0808080470976735</c:v>
                      </c:pt>
                      <c:pt idx="4">
                        <c:v>5.8319271973051423</c:v>
                      </c:pt>
                      <c:pt idx="5">
                        <c:v>6.4628447924896637</c:v>
                      </c:pt>
                      <c:pt idx="6">
                        <c:v>7.8352215273808312</c:v>
                      </c:pt>
                      <c:pt idx="7">
                        <c:v>9.187565104967943</c:v>
                      </c:pt>
                      <c:pt idx="8">
                        <c:v>10.316633998260327</c:v>
                      </c:pt>
                      <c:pt idx="9">
                        <c:v>11.385400417708812</c:v>
                      </c:pt>
                      <c:pt idx="10">
                        <c:v>12.407464776584298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113-4D6A-BA1A-88564618EC0B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America'!$Q$18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America'!$R$18:$AB$18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2.5110862590052907</c:v>
                      </c:pt>
                      <c:pt idx="1">
                        <c:v>3.177849525903409</c:v>
                      </c:pt>
                      <c:pt idx="2">
                        <c:v>3.7925164456948268</c:v>
                      </c:pt>
                      <c:pt idx="3">
                        <c:v>5.0179652412424058</c:v>
                      </c:pt>
                      <c:pt idx="4">
                        <c:v>5.7688577123589546</c:v>
                      </c:pt>
                      <c:pt idx="5">
                        <c:v>6.3996219777104457</c:v>
                      </c:pt>
                      <c:pt idx="6">
                        <c:v>7.771408061746965</c:v>
                      </c:pt>
                      <c:pt idx="7">
                        <c:v>9.1231773091512878</c:v>
                      </c:pt>
                      <c:pt idx="8">
                        <c:v>10.251807465510199</c:v>
                      </c:pt>
                      <c:pt idx="9">
                        <c:v>11.320173898713048</c:v>
                      </c:pt>
                      <c:pt idx="10">
                        <c:v>12.341868688841595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113-4D6A-BA1A-88564618EC0B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113-4D6A-BA1A-88564618EC0B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'Latin America'!#REF!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113-4D6A-BA1A-88564618EC0B}"/>
                  </c:ext>
                </c:extLst>
              </c15:ser>
            </c15:filteredBarSeries>
          </c:ext>
        </c:extLst>
      </c:barChart>
      <c:catAx>
        <c:axId val="838858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085392"/>
        <c:crosses val="autoZero"/>
        <c:auto val="1"/>
        <c:lblAlgn val="ctr"/>
        <c:lblOffset val="100"/>
        <c:noMultiLvlLbl val="0"/>
      </c:catAx>
      <c:valAx>
        <c:axId val="1694085392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85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1916167664670656E-2"/>
          <c:y val="0.85811457905679511"/>
          <c:w val="0.90670752982224534"/>
          <c:h val="0.1127918376824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58542815371875E-2"/>
          <c:y val="5.0925925925925923E-2"/>
          <c:w val="0.92482914369256253"/>
          <c:h val="0.651316282181542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'Middle East &amp; Africa'!$AJ$58</c:f>
              <c:strCache>
                <c:ptCount val="1"/>
                <c:pt idx="0">
                  <c:v>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'Middle East &amp; Africa'!$AK$57:$AL$57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'Middle East &amp; Africa'!$AK$58:$AL$58</c:f>
              <c:numCache>
                <c:formatCode>0.00%</c:formatCode>
                <c:ptCount val="2"/>
                <c:pt idx="0">
                  <c:v>0.18098181818181816</c:v>
                </c:pt>
                <c:pt idx="1">
                  <c:v>0.18129999999999999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D-4E1F-95AA-FFEF5BBA5409}"/>
            </c:ext>
          </c:extLst>
        </c:ser>
        <c:ser>
          <c:idx val="1"/>
          <c:order val="1"/>
          <c:tx>
            <c:strRef>
              <c:f>'Middle East &amp; Africa'!$AJ$59</c:f>
              <c:strCache>
                <c:ptCount val="1"/>
                <c:pt idx="0">
                  <c:v>Military, Defense and Aerospace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'Middle East &amp; Africa'!$AK$57:$AL$57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'Middle East &amp; Africa'!$AK$59:$AL$59</c:f>
              <c:numCache>
                <c:formatCode>0.00%</c:formatCode>
                <c:ptCount val="2"/>
                <c:pt idx="0">
                  <c:v>0.13836363636363638</c:v>
                </c:pt>
                <c:pt idx="1">
                  <c:v>0.13900000000000001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D-4E1F-95AA-FFEF5BBA5409}"/>
            </c:ext>
          </c:extLst>
        </c:ser>
        <c:ser>
          <c:idx val="2"/>
          <c:order val="2"/>
          <c:tx>
            <c:strRef>
              <c:f>'Middle East &amp; Africa'!$AJ$60</c:f>
              <c:strCache>
                <c:ptCount val="1"/>
                <c:pt idx="0">
                  <c:v>Consumer 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'Middle East &amp; Africa'!$AK$57:$AL$57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'Middle East &amp; Africa'!$AK$60:$AL$60</c:f>
              <c:numCache>
                <c:formatCode>0.00%</c:formatCode>
                <c:ptCount val="2"/>
                <c:pt idx="0">
                  <c:v>0.22140000000000001</c:v>
                </c:pt>
                <c:pt idx="1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F-48C2-B9A4-13E03BB90C05}"/>
            </c:ext>
          </c:extLst>
        </c:ser>
        <c:ser>
          <c:idx val="3"/>
          <c:order val="3"/>
          <c:tx>
            <c:strRef>
              <c:f>'Middle East &amp; Africa'!$AJ$61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'Middle East &amp; Africa'!$AK$57:$AL$57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'Middle East &amp; Africa'!$AK$61:$AL$61</c:f>
              <c:numCache>
                <c:formatCode>0.00%</c:formatCode>
                <c:ptCount val="2"/>
                <c:pt idx="0">
                  <c:v>0.12268181818181818</c:v>
                </c:pt>
                <c:pt idx="1">
                  <c:v>0.123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EF-48C2-B9A4-13E03BB90C05}"/>
            </c:ext>
          </c:extLst>
        </c:ser>
        <c:ser>
          <c:idx val="4"/>
          <c:order val="4"/>
          <c:tx>
            <c:strRef>
              <c:f>'Middle East &amp; Africa'!$AJ$62</c:f>
              <c:strCache>
                <c:ptCount val="1"/>
                <c:pt idx="0">
                  <c:v>Healthcare and Medical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'Middle East &amp; Africa'!$AK$57:$AL$57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'Middle East &amp; Africa'!$AK$62:$AL$62</c:f>
              <c:numCache>
                <c:formatCode>0.00%</c:formatCode>
                <c:ptCount val="2"/>
                <c:pt idx="0">
                  <c:v>0.19196363636363636</c:v>
                </c:pt>
                <c:pt idx="1">
                  <c:v>0.1905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EF-48C2-B9A4-13E03BB90C05}"/>
            </c:ext>
          </c:extLst>
        </c:ser>
        <c:ser>
          <c:idx val="5"/>
          <c:order val="5"/>
          <c:tx>
            <c:strRef>
              <c:f>'Middle East &amp; Africa'!$AJ$63</c:f>
              <c:strCache>
                <c:ptCount val="1"/>
                <c:pt idx="0">
                  <c:v>Energy and Power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'Middle East &amp; Africa'!$AK$57:$AL$57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'Middle East &amp; Africa'!$AK$63:$AL$63</c:f>
              <c:numCache>
                <c:formatCode>0.00%</c:formatCode>
                <c:ptCount val="2"/>
                <c:pt idx="0">
                  <c:v>8.5500000000000007E-2</c:v>
                </c:pt>
                <c:pt idx="1">
                  <c:v>8.6200000000000013E-2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EF-48C2-B9A4-13E03BB90C05}"/>
            </c:ext>
          </c:extLst>
        </c:ser>
        <c:ser>
          <c:idx val="6"/>
          <c:order val="6"/>
          <c:tx>
            <c:strRef>
              <c:f>'Middle East &amp; Africa'!$AJ$64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'Middle East &amp; Africa'!$AK$57:$AL$57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'Middle East &amp; Africa'!$AK$64:$AL$64</c:f>
              <c:numCache>
                <c:formatCode>0.00%</c:formatCode>
                <c:ptCount val="2"/>
                <c:pt idx="0">
                  <c:v>5.910909090909091E-2</c:v>
                </c:pt>
                <c:pt idx="1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B-438E-BA62-D1A10C3F0A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87102320"/>
        <c:axId val="1787108560"/>
      </c:barChart>
      <c:catAx>
        <c:axId val="178710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108560"/>
        <c:crosses val="autoZero"/>
        <c:auto val="1"/>
        <c:lblAlgn val="ctr"/>
        <c:lblOffset val="100"/>
        <c:noMultiLvlLbl val="0"/>
      </c:catAx>
      <c:valAx>
        <c:axId val="178710856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8710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031407611449776E-2"/>
          <c:y val="0.79817520477981907"/>
          <c:w val="0.96744074181264106"/>
          <c:h val="0.182618653126185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020621318339259E-2"/>
          <c:y val="6.025825644870101E-2"/>
          <c:w val="0.93195875736332146"/>
          <c:h val="0.6346378203780618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'Middle East &amp; Africa'!$AJ$77</c:f>
              <c:strCache>
                <c:ptCount val="1"/>
                <c:pt idx="0">
                  <c:v>Saudi Arabia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'Middle East &amp; Africa'!$AK$76:$AL$76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'Middle East &amp; Africa'!$AK$77:$AL$77</c:f>
              <c:numCache>
                <c:formatCode>0.00%</c:formatCode>
                <c:ptCount val="2"/>
                <c:pt idx="0">
                  <c:v>0.23901818181818188</c:v>
                </c:pt>
                <c:pt idx="1">
                  <c:v>0.23730000000000001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8-4E1C-B198-5D05479A66E8}"/>
            </c:ext>
          </c:extLst>
        </c:ser>
        <c:ser>
          <c:idx val="1"/>
          <c:order val="1"/>
          <c:tx>
            <c:strRef>
              <c:f>'Middle East &amp; Africa'!$AJ$78</c:f>
              <c:strCache>
                <c:ptCount val="1"/>
                <c:pt idx="0">
                  <c:v>UAE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'Middle East &amp; Africa'!$AK$76:$AL$76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'Middle East &amp; Africa'!$AK$78:$AL$78</c:f>
              <c:numCache>
                <c:formatCode>0.00%</c:formatCode>
                <c:ptCount val="2"/>
                <c:pt idx="0">
                  <c:v>0.2138181818181818</c:v>
                </c:pt>
                <c:pt idx="1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38-4E1C-B198-5D05479A66E8}"/>
            </c:ext>
          </c:extLst>
        </c:ser>
        <c:ser>
          <c:idx val="2"/>
          <c:order val="2"/>
          <c:tx>
            <c:strRef>
              <c:f>'Middle East &amp; Africa'!$AJ$79</c:f>
              <c:strCache>
                <c:ptCount val="1"/>
                <c:pt idx="0">
                  <c:v>Egypt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'Middle East &amp; Africa'!$AK$76:$AL$76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'Middle East &amp; Africa'!$AK$79:$AL$79</c:f>
              <c:numCache>
                <c:formatCode>0.00%</c:formatCode>
                <c:ptCount val="2"/>
                <c:pt idx="0">
                  <c:v>0.11609090909090908</c:v>
                </c:pt>
                <c:pt idx="1">
                  <c:v>0.11799999999999998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3-448E-B53B-35698720D890}"/>
            </c:ext>
          </c:extLst>
        </c:ser>
        <c:ser>
          <c:idx val="3"/>
          <c:order val="3"/>
          <c:tx>
            <c:strRef>
              <c:f>'Middle East &amp; Africa'!$AJ$80</c:f>
              <c:strCache>
                <c:ptCount val="1"/>
                <c:pt idx="0">
                  <c:v>Kuwait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'Middle East &amp; Africa'!$AK$76:$AL$76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'Middle East &amp; Africa'!$AK$80:$AL$80</c:f>
              <c:numCache>
                <c:formatCode>0.00%</c:formatCode>
                <c:ptCount val="2"/>
                <c:pt idx="0">
                  <c:v>0.10080000000000003</c:v>
                </c:pt>
                <c:pt idx="1">
                  <c:v>0.10220000000000003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F-4E67-B05F-EAC7B9C43E11}"/>
            </c:ext>
          </c:extLst>
        </c:ser>
        <c:ser>
          <c:idx val="4"/>
          <c:order val="4"/>
          <c:tx>
            <c:strRef>
              <c:f>'Middle East &amp; Africa'!$AJ$81</c:f>
              <c:strCache>
                <c:ptCount val="1"/>
                <c:pt idx="0">
                  <c:v>South Africa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'Middle East &amp; Africa'!$AK$76:$AL$76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'Middle East &amp; Africa'!$AK$81:$AL$81</c:f>
              <c:numCache>
                <c:formatCode>0.00%</c:formatCode>
                <c:ptCount val="2"/>
                <c:pt idx="0">
                  <c:v>0.1697272727272727</c:v>
                </c:pt>
                <c:pt idx="1">
                  <c:v>0.17100000000000001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EF-4E67-B05F-EAC7B9C43E11}"/>
            </c:ext>
          </c:extLst>
        </c:ser>
        <c:ser>
          <c:idx val="5"/>
          <c:order val="5"/>
          <c:tx>
            <c:strRef>
              <c:f>'Middle East &amp; Africa'!$AJ$82</c:f>
              <c:strCache>
                <c:ptCount val="1"/>
                <c:pt idx="0">
                  <c:v>Rest of Middle East &amp; Africa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'Middle East &amp; Africa'!$AK$76:$AL$76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'Middle East &amp; Africa'!$AK$82:$AL$82</c:f>
              <c:numCache>
                <c:formatCode>0.00%</c:formatCode>
                <c:ptCount val="2"/>
                <c:pt idx="0">
                  <c:v>0.16054545454545455</c:v>
                </c:pt>
                <c:pt idx="1">
                  <c:v>0.1615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EF-4E67-B05F-EAC7B9C43E1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87056240"/>
        <c:axId val="1787072080"/>
      </c:barChart>
      <c:catAx>
        <c:axId val="178705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072080"/>
        <c:crosses val="autoZero"/>
        <c:auto val="1"/>
        <c:lblAlgn val="ctr"/>
        <c:lblOffset val="100"/>
        <c:noMultiLvlLbl val="0"/>
      </c:catAx>
      <c:valAx>
        <c:axId val="178707208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8705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280096464273212E-2"/>
          <c:y val="0.78962253825985729"/>
          <c:w val="0.9887199035357267"/>
          <c:h val="0.189997024777155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28571428571431E-2"/>
          <c:y val="4.5392026924587825E-2"/>
          <c:w val="0.93714285714285717"/>
          <c:h val="0.671320405098878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'Middle East &amp; Africa'!$AJ$41</c:f>
              <c:strCache>
                <c:ptCount val="1"/>
                <c:pt idx="0">
                  <c:v>Flexible 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'Middle East &amp; Africa'!$AK$40:$AL$40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'Middle East &amp; Africa'!$AK$41:$AL$41</c:f>
              <c:numCache>
                <c:formatCode>0.00%</c:formatCode>
                <c:ptCount val="2"/>
                <c:pt idx="0">
                  <c:v>0.52550000000000008</c:v>
                </c:pt>
                <c:pt idx="1">
                  <c:v>0.52200000000000013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3-44C2-92E9-1867DB9BA288}"/>
            </c:ext>
          </c:extLst>
        </c:ser>
        <c:ser>
          <c:idx val="1"/>
          <c:order val="1"/>
          <c:tx>
            <c:strRef>
              <c:f>'Middle East &amp; Africa'!$AJ$42</c:f>
              <c:strCache>
                <c:ptCount val="1"/>
                <c:pt idx="0">
                  <c:v>Flexible Circuit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'Middle East &amp; Africa'!$AK$40:$AL$40</c:f>
              <c:numCache>
                <c:formatCode>General</c:formatCode>
                <c:ptCount val="2"/>
                <c:pt idx="0">
                  <c:v>2023</c:v>
                </c:pt>
                <c:pt idx="1">
                  <c:v>2030</c:v>
                </c:pt>
              </c:numCache>
            </c:numRef>
          </c:cat>
          <c:val>
            <c:numRef>
              <c:f>'Middle East &amp; Africa'!$AK$42:$AL$42</c:f>
              <c:numCache>
                <c:formatCode>0.00%</c:formatCode>
                <c:ptCount val="2"/>
                <c:pt idx="0">
                  <c:v>0.47449999999999992</c:v>
                </c:pt>
                <c:pt idx="1">
                  <c:v>0.47799999999999998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3-44C2-92E9-1867DB9BA28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89881984"/>
        <c:axId val="1789854144"/>
      </c:barChart>
      <c:catAx>
        <c:axId val="178988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854144"/>
        <c:crosses val="autoZero"/>
        <c:auto val="1"/>
        <c:lblAlgn val="ctr"/>
        <c:lblOffset val="100"/>
        <c:noMultiLvlLbl val="0"/>
      </c:catAx>
      <c:valAx>
        <c:axId val="178985414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8988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89638419975602E-2"/>
          <c:y val="0.85581644025184644"/>
          <c:w val="0.96510373083355716"/>
          <c:h val="0.10597923566732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234033245844273E-2"/>
          <c:y val="5.0925925925925923E-2"/>
          <c:w val="0.87221041119860021"/>
          <c:h val="0.642301360057265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'Middle East &amp; Africa'!$Q$21</c:f>
              <c:strCache>
                <c:ptCount val="1"/>
                <c:pt idx="0">
                  <c:v>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'Middle East &amp; Africa'!$R$5:$AB$5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'Middle East &amp; Africa'!$R$21:$AB$21</c:f>
              <c:numCache>
                <c:formatCode>_(* #,##0.00_);_(* \(#,##0.00\);_(* "-"??_);_(@_)</c:formatCode>
                <c:ptCount val="11"/>
                <c:pt idx="0">
                  <c:v>2.5679571702990289</c:v>
                </c:pt>
                <c:pt idx="1">
                  <c:v>3.2343461871487067</c:v>
                </c:pt>
                <c:pt idx="2">
                  <c:v>3.8486083057359677</c:v>
                </c:pt>
                <c:pt idx="3">
                  <c:v>5.0739764531287479</c:v>
                </c:pt>
                <c:pt idx="4">
                  <c:v>5.8245283732777375</c:v>
                </c:pt>
                <c:pt idx="5">
                  <c:v>6.4548863189932915</c:v>
                </c:pt>
                <c:pt idx="6">
                  <c:v>7.8266442243259737</c:v>
                </c:pt>
                <c:pt idx="7">
                  <c:v>9.1783634679942097</c:v>
                </c:pt>
                <c:pt idx="8">
                  <c:v>10.306821031707813</c:v>
                </c:pt>
                <c:pt idx="9">
                  <c:v>11.374977116579576</c:v>
                </c:pt>
                <c:pt idx="10">
                  <c:v>12.396431733538083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7-4E07-B018-8411AE4ED0F4}"/>
            </c:ext>
          </c:extLst>
        </c:ser>
        <c:ser>
          <c:idx val="1"/>
          <c:order val="1"/>
          <c:tx>
            <c:strRef>
              <c:f>'Middle East &amp; Africa'!$Q$22</c:f>
              <c:strCache>
                <c:ptCount val="1"/>
                <c:pt idx="0">
                  <c:v>Military, Defense and Aerospace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'Middle East &amp; Africa'!$R$5:$AB$5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'Middle East &amp; Africa'!$R$22:$AB$22</c:f>
              <c:numCache>
                <c:formatCode>_(* #,##0.00_);_(* \(#,##0.00\);_(* "-"??_);_(@_)</c:formatCode>
                <c:ptCount val="11"/>
                <c:pt idx="0">
                  <c:v>2.6097280998869543</c:v>
                </c:pt>
                <c:pt idx="1">
                  <c:v>3.2763502693706315</c:v>
                </c:pt>
                <c:pt idx="2">
                  <c:v>3.8908239127769528</c:v>
                </c:pt>
                <c:pt idx="3">
                  <c:v>5.1166513824723925</c:v>
                </c:pt>
                <c:pt idx="4">
                  <c:v>5.8674691093011599</c:v>
                </c:pt>
                <c:pt idx="5">
                  <c:v>6.4980436379983075</c:v>
                </c:pt>
                <c:pt idx="6">
                  <c:v>7.8703180137785766</c:v>
                </c:pt>
                <c:pt idx="7">
                  <c:v>9.2225446683130929</c:v>
                </c:pt>
                <c:pt idx="8">
                  <c:v>10.351418443688253</c:v>
                </c:pt>
                <c:pt idx="9">
                  <c:v>11.419965613946271</c:v>
                </c:pt>
                <c:pt idx="10">
                  <c:v>12.441791746402586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1827-4E07-B018-8411AE4ED0F4}"/>
            </c:ext>
          </c:extLst>
        </c:ser>
        <c:ser>
          <c:idx val="2"/>
          <c:order val="2"/>
          <c:tx>
            <c:strRef>
              <c:f>'Middle East &amp; Africa'!$Q$23</c:f>
              <c:strCache>
                <c:ptCount val="1"/>
                <c:pt idx="0">
                  <c:v>Consumer 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'Middle East &amp; Africa'!$R$5:$AB$5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'Middle East &amp; Africa'!$R$23:$AB$23</c:f>
              <c:numCache>
                <c:formatCode>_(* #,##0.00_);_(* \(#,##0.00\);_(* "-"??_);_(@_)</c:formatCode>
                <c:ptCount val="11"/>
                <c:pt idx="0">
                  <c:v>2.449880069226662</c:v>
                </c:pt>
                <c:pt idx="1">
                  <c:v>3.1154247567709348</c:v>
                </c:pt>
                <c:pt idx="2">
                  <c:v>3.7289014814197108</c:v>
                </c:pt>
                <c:pt idx="3">
                  <c:v>4.952778274408387</c:v>
                </c:pt>
                <c:pt idx="4">
                  <c:v>5.702384877644362</c:v>
                </c:pt>
                <c:pt idx="5">
                  <c:v>6.3319350364285487</c:v>
                </c:pt>
                <c:pt idx="6">
                  <c:v>7.7020271949620467</c:v>
                </c:pt>
                <c:pt idx="7">
                  <c:v>9.0521016291008394</c:v>
                </c:pt>
                <c:pt idx="8">
                  <c:v>10.179170535477899</c:v>
                </c:pt>
                <c:pt idx="9">
                  <c:v>11.246005910979351</c:v>
                </c:pt>
                <c:pt idx="10">
                  <c:v>12.266192139587396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1827-4E07-B018-8411AE4ED0F4}"/>
            </c:ext>
          </c:extLst>
        </c:ser>
        <c:ser>
          <c:idx val="3"/>
          <c:order val="3"/>
          <c:tx>
            <c:strRef>
              <c:f>'Middle East &amp; Africa'!$Q$24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'Middle East &amp; Africa'!$R$5:$AB$5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'Middle East &amp; Africa'!$R$24:$AB$24</c:f>
              <c:numCache>
                <c:formatCode>_(* #,##0.00_);_(* \(#,##0.00\);_(* "-"??_);_(@_)</c:formatCode>
                <c:ptCount val="11"/>
                <c:pt idx="0">
                  <c:v>2.5802263038431361</c:v>
                </c:pt>
                <c:pt idx="1">
                  <c:v>3.246687351532529</c:v>
                </c:pt>
                <c:pt idx="2">
                  <c:v>3.8610151814387983</c:v>
                </c:pt>
                <c:pt idx="3">
                  <c:v>5.0865219200786793</c:v>
                </c:pt>
                <c:pt idx="4">
                  <c:v>5.8371556007251968</c:v>
                </c:pt>
                <c:pt idx="5">
                  <c:v>6.4675808700966009</c:v>
                </c:pt>
                <c:pt idx="6">
                  <c:v>7.8394943687892349</c:v>
                </c:pt>
                <c:pt idx="7">
                  <c:v>9.1913666236350888</c:v>
                </c:pt>
                <c:pt idx="8">
                  <c:v>10.319950432204195</c:v>
                </c:pt>
                <c:pt idx="9">
                  <c:v>11.388225429846432</c:v>
                </c:pt>
                <c:pt idx="10">
                  <c:v>12.409793257814016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1827-4E07-B018-8411AE4ED0F4}"/>
            </c:ext>
          </c:extLst>
        </c:ser>
        <c:ser>
          <c:idx val="4"/>
          <c:order val="4"/>
          <c:tx>
            <c:strRef>
              <c:f>'Middle East &amp; Africa'!$Q$25</c:f>
              <c:strCache>
                <c:ptCount val="1"/>
                <c:pt idx="0">
                  <c:v>Healthcare and Medical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'Middle East &amp; Africa'!$R$5:$AB$5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'Middle East &amp; Africa'!$R$25:$AB$25</c:f>
              <c:numCache>
                <c:formatCode>_(* #,##0.00_);_(* \(#,##0.00\);_(* "-"??_);_(@_)</c:formatCode>
                <c:ptCount val="11"/>
                <c:pt idx="0">
                  <c:v>2.4309706347067417</c:v>
                </c:pt>
                <c:pt idx="1">
                  <c:v>3.0963546378469875</c:v>
                </c:pt>
                <c:pt idx="2">
                  <c:v>3.7096797241396695</c:v>
                </c:pt>
                <c:pt idx="3">
                  <c:v>4.9332909748703635</c:v>
                </c:pt>
                <c:pt idx="4">
                  <c:v>5.6827192511449187</c:v>
                </c:pt>
                <c:pt idx="5">
                  <c:v>6.3121127901628382</c:v>
                </c:pt>
                <c:pt idx="6">
                  <c:v>7.6819094151940437</c:v>
                </c:pt>
                <c:pt idx="7">
                  <c:v>9.0316909193493231</c:v>
                </c:pt>
                <c:pt idx="8">
                  <c:v>10.158507584900601</c:v>
                </c:pt>
                <c:pt idx="9">
                  <c:v>11.225101067787001</c:v>
                </c:pt>
                <c:pt idx="10">
                  <c:v>12.24505325795182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1827-4E07-B018-8411AE4ED0F4}"/>
            </c:ext>
          </c:extLst>
        </c:ser>
        <c:ser>
          <c:idx val="5"/>
          <c:order val="5"/>
          <c:tx>
            <c:strRef>
              <c:f>'Middle East &amp; Africa'!$Q$26</c:f>
              <c:strCache>
                <c:ptCount val="1"/>
                <c:pt idx="0">
                  <c:v>Energy and Power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'Middle East &amp; Africa'!$R$5:$AB$5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'Middle East &amp; Africa'!$R$26:$AB$26</c:f>
              <c:numCache>
                <c:formatCode>_(* #,##0.00_);_(* \(#,##0.00\);_(* "-"??_);_(@_)</c:formatCode>
                <c:ptCount val="11"/>
                <c:pt idx="0">
                  <c:v>2.6626733539640846</c:v>
                </c:pt>
                <c:pt idx="1">
                  <c:v>3.3295419280295224</c:v>
                </c:pt>
                <c:pt idx="2">
                  <c:v>3.9442341834847738</c:v>
                </c:pt>
                <c:pt idx="3">
                  <c:v>5.1705931071783562</c:v>
                </c:pt>
                <c:pt idx="4">
                  <c:v>5.9216969543867792</c:v>
                </c:pt>
                <c:pt idx="5">
                  <c:v>6.5524949980954483</c:v>
                </c:pt>
                <c:pt idx="6">
                  <c:v>7.9253705241485006</c:v>
                </c:pt>
                <c:pt idx="7">
                  <c:v>9.2781858446395979</c:v>
                </c:pt>
                <c:pt idx="8">
                  <c:v>10.407532485694993</c:v>
                </c:pt>
                <c:pt idx="9">
                  <c:v>11.476520098501663</c:v>
                </c:pt>
                <c:pt idx="10">
                  <c:v>12.498761318109054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1827-4E07-B018-8411AE4ED0F4}"/>
            </c:ext>
          </c:extLst>
        </c:ser>
        <c:ser>
          <c:idx val="6"/>
          <c:order val="6"/>
          <c:tx>
            <c:strRef>
              <c:f>'Middle East &amp; Africa'!$Q$27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'Middle East &amp; Africa'!$R$5:$AB$5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'Middle East &amp; Africa'!$R$27:$AB$27</c:f>
              <c:numCache>
                <c:formatCode>_(* #,##0.00_);_(* \(#,##0.00\);_(* "-"??_);_(@_)</c:formatCode>
                <c:ptCount val="11"/>
                <c:pt idx="0">
                  <c:v>2.7648875410749563</c:v>
                </c:pt>
                <c:pt idx="1">
                  <c:v>3.4320767686870646</c:v>
                </c:pt>
                <c:pt idx="2">
                  <c:v>4.0470354213158144</c:v>
                </c:pt>
                <c:pt idx="3">
                  <c:v>5.2742613824125151</c:v>
                </c:pt>
                <c:pt idx="4">
                  <c:v>6.0257590831757968</c:v>
                </c:pt>
                <c:pt idx="5">
                  <c:v>6.6568300488867749</c:v>
                </c:pt>
                <c:pt idx="6">
                  <c:v>8.0307004031052287</c:v>
                </c:pt>
                <c:pt idx="7">
                  <c:v>9.3844839510190958</c:v>
                </c:pt>
                <c:pt idx="8">
                  <c:v>10.514575257461733</c:v>
                </c:pt>
                <c:pt idx="9">
                  <c:v>11.584243783875525</c:v>
                </c:pt>
                <c:pt idx="10">
                  <c:v>12.607115893427622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6-445A-9856-AEE450846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786815"/>
        <c:axId val="359786335"/>
        <c:extLst/>
      </c:barChart>
      <c:catAx>
        <c:axId val="359786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86335"/>
        <c:crosses val="autoZero"/>
        <c:auto val="1"/>
        <c:lblAlgn val="ctr"/>
        <c:lblOffset val="100"/>
        <c:noMultiLvlLbl val="0"/>
      </c:catAx>
      <c:valAx>
        <c:axId val="359786335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8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035896477462428E-2"/>
          <c:y val="0.79706263421617751"/>
          <c:w val="0.95872294267487679"/>
          <c:h val="0.189301002147458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189320593911234E-2"/>
          <c:y val="5.1321953599369884E-2"/>
          <c:w val="0.8359110428696569"/>
          <c:h val="0.606576998360048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'Middle East &amp; Africa'!$Q$30</c:f>
              <c:strCache>
                <c:ptCount val="1"/>
                <c:pt idx="0">
                  <c:v>Saudi Arabia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'Middle East &amp; Africa'!$R$5:$AB$5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'Middle East &amp; Africa'!$R$30:$AB$30</c:f>
              <c:numCache>
                <c:formatCode>_(* #,##0.00_);_(* \(#,##0.00\);_(* "-"??_);_(@_)</c:formatCode>
                <c:ptCount val="11"/>
                <c:pt idx="0">
                  <c:v>2.4373045771911128</c:v>
                </c:pt>
                <c:pt idx="1">
                  <c:v>3.1027431876848865</c:v>
                </c:pt>
                <c:pt idx="2">
                  <c:v>3.7161198653396177</c:v>
                </c:pt>
                <c:pt idx="3">
                  <c:v>4.9398208891288098</c:v>
                </c:pt>
                <c:pt idx="4">
                  <c:v>5.6893097338632126</c:v>
                </c:pt>
                <c:pt idx="5">
                  <c:v>6.3187565822179215</c:v>
                </c:pt>
                <c:pt idx="6">
                  <c:v>7.6886530965536215</c:v>
                </c:pt>
                <c:pt idx="7">
                  <c:v>9.0385336434824826</c:v>
                </c:pt>
                <c:pt idx="8">
                  <c:v>10.165435735169815</c:v>
                </c:pt>
                <c:pt idx="9">
                  <c:v>11.232111196919647</c:v>
                </c:pt>
                <c:pt idx="10">
                  <c:v>12.252142753889107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5-4DF2-9D99-1684EAF648E8}"/>
            </c:ext>
          </c:extLst>
        </c:ser>
        <c:ser>
          <c:idx val="1"/>
          <c:order val="1"/>
          <c:tx>
            <c:strRef>
              <c:f>'Middle East &amp; Africa'!$Q$31</c:f>
              <c:strCache>
                <c:ptCount val="1"/>
                <c:pt idx="0">
                  <c:v>UAE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'Middle East &amp; Africa'!$R$5:$AB$5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'Middle East &amp; Africa'!$R$31:$AB$31</c:f>
              <c:numCache>
                <c:formatCode>_(* #,##0.00_);_(* \(#,##0.00\);_(* "-"??_);_(@_)</c:formatCode>
                <c:ptCount val="11"/>
                <c:pt idx="0">
                  <c:v>2.2832323664113474</c:v>
                </c:pt>
                <c:pt idx="1">
                  <c:v>2.947118200057508</c:v>
                </c:pt>
                <c:pt idx="2">
                  <c:v>3.5590106904962449</c:v>
                </c:pt>
                <c:pt idx="3">
                  <c:v>4.780289907604951</c:v>
                </c:pt>
                <c:pt idx="4">
                  <c:v>5.5280639076395799</c:v>
                </c:pt>
                <c:pt idx="5">
                  <c:v>6.1559682415736283</c:v>
                </c:pt>
                <c:pt idx="6">
                  <c:v>7.5231741908641458</c:v>
                </c:pt>
                <c:pt idx="7">
                  <c:v>8.8703765076983068</c:v>
                </c:pt>
                <c:pt idx="8">
                  <c:v>9.9949270163541382</c:v>
                </c:pt>
                <c:pt idx="9">
                  <c:v>11.059328321129524</c:v>
                </c:pt>
                <c:pt idx="10">
                  <c:v>12.077142852305723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D5-4DF2-9D99-1684EAF648E8}"/>
            </c:ext>
          </c:extLst>
        </c:ser>
        <c:ser>
          <c:idx val="2"/>
          <c:order val="2"/>
          <c:tx>
            <c:strRef>
              <c:f>'Middle East &amp; Africa'!$Q$32</c:f>
              <c:strCache>
                <c:ptCount val="1"/>
                <c:pt idx="0">
                  <c:v>Egypt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'Middle East &amp; Africa'!$R$5:$AB$5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'Middle East &amp; Africa'!$R$32:$AB$32</c:f>
              <c:numCache>
                <c:formatCode>_(* #,##0.00_);_(* \(#,##0.00\);_(* "-"??_);_(@_)</c:formatCode>
                <c:ptCount val="11"/>
                <c:pt idx="0">
                  <c:v>2.7853602875496986</c:v>
                </c:pt>
                <c:pt idx="1">
                  <c:v>3.4525892263044256</c:v>
                </c:pt>
                <c:pt idx="2">
                  <c:v>4.0675767115687655</c:v>
                </c:pt>
                <c:pt idx="3">
                  <c:v>5.2949513690620398</c:v>
                </c:pt>
                <c:pt idx="4">
                  <c:v>6.0465031459547625</c:v>
                </c:pt>
                <c:pt idx="5">
                  <c:v>6.6776040390427394</c:v>
                </c:pt>
                <c:pt idx="6">
                  <c:v>8.0516478763942736</c:v>
                </c:pt>
                <c:pt idx="7">
                  <c:v>9.4055992746360673</c:v>
                </c:pt>
                <c:pt idx="8">
                  <c:v>10.535813740175271</c:v>
                </c:pt>
                <c:pt idx="9">
                  <c:v>11.605592562558931</c:v>
                </c:pt>
                <c:pt idx="10">
                  <c:v>12.628564867883508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A94-42E1-8DE6-F4B229B3C32B}"/>
            </c:ext>
          </c:extLst>
        </c:ser>
        <c:ser>
          <c:idx val="3"/>
          <c:order val="3"/>
          <c:tx>
            <c:strRef>
              <c:f>'Middle East &amp; Africa'!$Q$33</c:f>
              <c:strCache>
                <c:ptCount val="1"/>
                <c:pt idx="0">
                  <c:v>Kuwait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'Middle East &amp; Africa'!$R$5:$AB$5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'Middle East &amp; Africa'!$R$33:$AB$33</c:f>
              <c:numCache>
                <c:formatCode>_(* #,##0.00_);_(* \(#,##0.00\);_(* "-"??_);_(@_)</c:formatCode>
                <c:ptCount val="11"/>
                <c:pt idx="0">
                  <c:v>2.7472616129951444</c:v>
                </c:pt>
                <c:pt idx="1">
                  <c:v>3.4144101030902929</c:v>
                </c:pt>
                <c:pt idx="2">
                  <c:v>4.0293373917253295</c:v>
                </c:pt>
                <c:pt idx="3">
                  <c:v>5.2564286859411391</c:v>
                </c:pt>
                <c:pt idx="4">
                  <c:v>6.0078732348695318</c:v>
                </c:pt>
                <c:pt idx="5">
                  <c:v>6.6389118696236427</c:v>
                </c:pt>
                <c:pt idx="6">
                  <c:v>8.0126260339146818</c:v>
                </c:pt>
                <c:pt idx="7">
                  <c:v>9.3662581713703119</c:v>
                </c:pt>
                <c:pt idx="8">
                  <c:v>10.496236578128769</c:v>
                </c:pt>
                <c:pt idx="9">
                  <c:v>11.565803265273455</c:v>
                </c:pt>
                <c:pt idx="10">
                  <c:v>12.588582220758315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DA94-42E1-8DE6-F4B229B3C32B}"/>
            </c:ext>
          </c:extLst>
        </c:ser>
        <c:ser>
          <c:idx val="4"/>
          <c:order val="4"/>
          <c:tx>
            <c:strRef>
              <c:f>'Middle East &amp; Africa'!$Q$34</c:f>
              <c:strCache>
                <c:ptCount val="1"/>
                <c:pt idx="0">
                  <c:v>South Africa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'Middle East &amp; Africa'!$R$5:$AB$5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'Middle East &amp; Africa'!$R$34:$AB$34</c:f>
              <c:numCache>
                <c:formatCode>_(* #,##0.00_);_(* \(#,##0.00\);_(* "-"??_);_(@_)</c:formatCode>
                <c:ptCount val="11"/>
                <c:pt idx="0">
                  <c:v>2.6524969758084493</c:v>
                </c:pt>
                <c:pt idx="1">
                  <c:v>3.3193224491081086</c:v>
                </c:pt>
                <c:pt idx="2">
                  <c:v>3.9339769715096562</c:v>
                </c:pt>
                <c:pt idx="3">
                  <c:v>5.1602381328950342</c:v>
                </c:pt>
                <c:pt idx="4">
                  <c:v>5.9112913694225</c:v>
                </c:pt>
                <c:pt idx="5">
                  <c:v>6.5420508468450711</c:v>
                </c:pt>
                <c:pt idx="6">
                  <c:v>7.9148154296611262</c:v>
                </c:pt>
                <c:pt idx="7">
                  <c:v>9.2675222853552128</c:v>
                </c:pt>
                <c:pt idx="8">
                  <c:v>10.396782729043675</c:v>
                </c:pt>
                <c:pt idx="9">
                  <c:v>11.465690418318196</c:v>
                </c:pt>
                <c:pt idx="10">
                  <c:v>12.487856627526671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998-454F-9C22-E388D225B89A}"/>
            </c:ext>
          </c:extLst>
        </c:ser>
        <c:ser>
          <c:idx val="5"/>
          <c:order val="5"/>
          <c:tx>
            <c:strRef>
              <c:f>'Middle East &amp; Africa'!$Q$35</c:f>
              <c:strCache>
                <c:ptCount val="1"/>
                <c:pt idx="0">
                  <c:v>Rest of Middle East &amp; Africa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'Middle East &amp; Africa'!$R$5:$AB$5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'Middle East &amp; Africa'!$R$35:$AB$35</c:f>
              <c:numCache>
                <c:formatCode>_(* #,##0.00_);_(* \(#,##0.00\);_(* "-"??_);_(@_)</c:formatCode>
                <c:ptCount val="11"/>
                <c:pt idx="0">
                  <c:v>2.6295711595507809</c:v>
                </c:pt>
                <c:pt idx="1">
                  <c:v>3.296292107624943</c:v>
                </c:pt>
                <c:pt idx="2">
                  <c:v>3.9108541552782983</c:v>
                </c:pt>
                <c:pt idx="3">
                  <c:v>5.1368874325476988</c:v>
                </c:pt>
                <c:pt idx="4">
                  <c:v>5.8878190182955148</c:v>
                </c:pt>
                <c:pt idx="5">
                  <c:v>6.518483962373911</c:v>
                </c:pt>
                <c:pt idx="6">
                  <c:v>7.8909906006483066</c:v>
                </c:pt>
                <c:pt idx="7">
                  <c:v>9.2434449610432559</c:v>
                </c:pt>
                <c:pt idx="8">
                  <c:v>10.37250306029418</c:v>
                </c:pt>
                <c:pt idx="9">
                  <c:v>11.441222469242639</c:v>
                </c:pt>
                <c:pt idx="10">
                  <c:v>12.463211400722486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11D1-4BF0-8022-37E24B51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799295"/>
        <c:axId val="359799775"/>
        <c:extLst/>
      </c:barChart>
      <c:catAx>
        <c:axId val="359799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99775"/>
        <c:crosses val="autoZero"/>
        <c:auto val="1"/>
        <c:lblAlgn val="ctr"/>
        <c:lblOffset val="100"/>
        <c:noMultiLvlLbl val="0"/>
      </c:catAx>
      <c:valAx>
        <c:axId val="359799775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9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017295820981553E-2"/>
          <c:y val="0.82795426357956114"/>
          <c:w val="0.93291294339110431"/>
          <c:h val="0.16271447212964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54898525232402"/>
          <c:y val="5.132189703659211E-2"/>
          <c:w val="0.8250621176973576"/>
          <c:h val="0.672189582721418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'Middle East &amp; Africa'!$Q$8</c:f>
              <c:strCache>
                <c:ptCount val="1"/>
                <c:pt idx="0">
                  <c:v>Flexible 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'Middle East &amp; Africa'!$R$5:$AB$5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'Middle East &amp; Africa'!$R$8:$AB$8</c:f>
              <c:numCache>
                <c:formatCode>_(* #,##0.00_);_(* \(#,##0.00\);_(* "-"??_);_(@_)</c:formatCode>
                <c:ptCount val="11"/>
                <c:pt idx="0">
                  <c:v>2.4449808819298591</c:v>
                </c:pt>
                <c:pt idx="1">
                  <c:v>3.1104846139457187</c:v>
                </c:pt>
                <c:pt idx="2">
                  <c:v>3.7239227388182305</c:v>
                </c:pt>
                <c:pt idx="3">
                  <c:v>4.9477314452230914</c:v>
                </c:pt>
                <c:pt idx="4">
                  <c:v>5.6972925660482732</c:v>
                </c:pt>
                <c:pt idx="5">
                  <c:v>6.3268028766681139</c:v>
                </c:pt>
                <c:pt idx="6">
                  <c:v>7.6968192385206802</c:v>
                </c:pt>
                <c:pt idx="7">
                  <c:v>9.0468185724032821</c:v>
                </c:pt>
                <c:pt idx="8">
                  <c:v>10.173822931356202</c:v>
                </c:pt>
                <c:pt idx="9">
                  <c:v>11.240596456745156</c:v>
                </c:pt>
                <c:pt idx="10">
                  <c:v>12.260722886207853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7-4E76-90EB-96E61F32BEFD}"/>
            </c:ext>
          </c:extLst>
        </c:ser>
        <c:ser>
          <c:idx val="5"/>
          <c:order val="5"/>
          <c:tx>
            <c:strRef>
              <c:f>'Middle East &amp; Africa'!$Q$13</c:f>
              <c:strCache>
                <c:ptCount val="1"/>
                <c:pt idx="0">
                  <c:v>Flexible Circuit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'Middle East &amp; Africa'!$R$5:$AB$5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'Middle East &amp; Africa'!$R$13:$AB$13</c:f>
              <c:numCache>
                <c:formatCode>_(* #,##0.00_);_(* \(#,##0.00\);_(* "-"??_);_(@_)</c:formatCode>
                <c:ptCount val="11"/>
                <c:pt idx="0">
                  <c:v>2.6506874989633777</c:v>
                </c:pt>
                <c:pt idx="1">
                  <c:v>3.3175050962763741</c:v>
                </c:pt>
                <c:pt idx="2">
                  <c:v>3.932152696015101</c:v>
                </c:pt>
                <c:pt idx="3">
                  <c:v>5.1583962560024954</c:v>
                </c:pt>
                <c:pt idx="4">
                  <c:v>5.909440275549116</c:v>
                </c:pt>
                <c:pt idx="5">
                  <c:v>6.5401926772334029</c:v>
                </c:pt>
                <c:pt idx="6">
                  <c:v>7.9129373047557516</c:v>
                </c:pt>
                <c:pt idx="7">
                  <c:v>9.2656246421110247</c:v>
                </c:pt>
                <c:pt idx="8">
                  <c:v>10.394869526552931</c:v>
                </c:pt>
                <c:pt idx="9">
                  <c:v>11.463762770241104</c:v>
                </c:pt>
                <c:pt idx="10">
                  <c:v>12.485915405688285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91-4A4C-A56E-CB49D63B8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5367216"/>
        <c:axId val="168955033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'Middle East &amp; Africa'!$Q$9</c15:sqref>
                        </c15:formulaRef>
                      </c:ext>
                    </c:extLst>
                    <c:strCache>
                      <c:ptCount val="1"/>
                      <c:pt idx="0">
                        <c:v>Flexible Displays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'Middle East &amp; Africa'!$R$5:$AB$5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'Middle East &amp; Africa'!$R$9:$AB$9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2.3286959734154289</c:v>
                      </c:pt>
                      <c:pt idx="1">
                        <c:v>2.9930887402618067</c:v>
                      </c:pt>
                      <c:pt idx="2">
                        <c:v>3.6054690598780192</c:v>
                      </c:pt>
                      <c:pt idx="3">
                        <c:v>4.8275148059678585</c:v>
                      </c:pt>
                      <c:pt idx="4">
                        <c:v>5.5758475779554617</c:v>
                      </c:pt>
                      <c:pt idx="5">
                        <c:v>6.2042608656702969</c:v>
                      </c:pt>
                      <c:pt idx="6">
                        <c:v>7.5723179186239831</c:v>
                      </c:pt>
                      <c:pt idx="7">
                        <c:v>8.9203696201864524</c:v>
                      </c:pt>
                      <c:pt idx="8">
                        <c:v>10.045674248715564</c:v>
                      </c:pt>
                      <c:pt idx="9">
                        <c:v>11.110808358038815</c:v>
                      </c:pt>
                      <c:pt idx="10">
                        <c:v>12.1293403674541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EC7-4E76-90EB-96E61F32BEF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Africa'!$Q$10</c15:sqref>
                        </c15:formulaRef>
                      </c:ext>
                    </c:extLst>
                    <c:strCache>
                      <c:ptCount val="1"/>
                      <c:pt idx="0">
                        <c:v>Flexible Batteries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Africa'!$R$10:$AB$10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2.5849388002874285</c:v>
                      </c:pt>
                      <c:pt idx="1">
                        <c:v>3.2514267298922483</c:v>
                      </c:pt>
                      <c:pt idx="2">
                        <c:v>3.8657790067274211</c:v>
                      </c:pt>
                      <c:pt idx="3">
                        <c:v>5.0913381634356991</c:v>
                      </c:pt>
                      <c:pt idx="4">
                        <c:v>5.8420024313313945</c:v>
                      </c:pt>
                      <c:pt idx="5">
                        <c:v>6.4724527377343577</c:v>
                      </c:pt>
                      <c:pt idx="6">
                        <c:v>7.844425135828681</c:v>
                      </c:pt>
                      <c:pt idx="7">
                        <c:v>9.1963552804039459</c:v>
                      </c:pt>
                      <c:pt idx="8">
                        <c:v>10.324986692834415</c:v>
                      </c:pt>
                      <c:pt idx="9">
                        <c:v>11.393306467048102</c:v>
                      </c:pt>
                      <c:pt idx="10">
                        <c:v>12.414916870868664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EC7-4E76-90EB-96E61F32BEF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Africa'!$Q$11</c15:sqref>
                        </c15:formulaRef>
                      </c:ext>
                    </c:extLst>
                    <c:strCache>
                      <c:ptCount val="1"/>
                      <c:pt idx="0">
                        <c:v>Flexible Sensors 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Africa'!$R$11:$AB$11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2.3051768487899027</c:v>
                      </c:pt>
                      <c:pt idx="1">
                        <c:v>2.9693124712724783</c:v>
                      </c:pt>
                      <c:pt idx="2">
                        <c:v>3.5814456615767432</c:v>
                      </c:pt>
                      <c:pt idx="3">
                        <c:v>4.8031003283745877</c:v>
                      </c:pt>
                      <c:pt idx="4">
                        <c:v>5.5511496013583406</c:v>
                      </c:pt>
                      <c:pt idx="5">
                        <c:v>6.1793052851744967</c:v>
                      </c:pt>
                      <c:pt idx="6">
                        <c:v>7.546928105470907</c:v>
                      </c:pt>
                      <c:pt idx="7">
                        <c:v>8.894546682269544</c:v>
                      </c:pt>
                      <c:pt idx="8">
                        <c:v>10.019467603432197</c:v>
                      </c:pt>
                      <c:pt idx="9">
                        <c:v>11.084229211284423</c:v>
                      </c:pt>
                      <c:pt idx="10">
                        <c:v>12.102396827711814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C7-4E76-90EB-96E61F32BEF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Africa'!$Q$12</c15:sqref>
                        </c15:formulaRef>
                      </c:ext>
                    </c:extLst>
                    <c:strCache>
                      <c:ptCount val="1"/>
                      <c:pt idx="0">
                        <c:v>Flexible Memory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Africa'!$R$12:$AB$12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2.6766294139744407</c:v>
                      </c:pt>
                      <c:pt idx="1">
                        <c:v>3.3435538031384437</c:v>
                      </c:pt>
                      <c:pt idx="2">
                        <c:v>3.9582944966418898</c:v>
                      </c:pt>
                      <c:pt idx="3">
                        <c:v>5.1847841100238767</c:v>
                      </c:pt>
                      <c:pt idx="4">
                        <c:v>5.9359539889727753</c:v>
                      </c:pt>
                      <c:pt idx="5">
                        <c:v>6.5668015421823211</c:v>
                      </c:pt>
                      <c:pt idx="6">
                        <c:v>7.9398256817635238</c:v>
                      </c:pt>
                      <c:pt idx="7">
                        <c:v>9.2927861605814464</c:v>
                      </c:pt>
                      <c:pt idx="8">
                        <c:v>10.422247418959607</c:v>
                      </c:pt>
                      <c:pt idx="9">
                        <c:v>11.491341017382005</c:v>
                      </c:pt>
                      <c:pt idx="10">
                        <c:v>12.513681458756199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591-4A4C-A56E-CB49D63B8D3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Africa'!$Q$14</c15:sqref>
                        </c15:formulaRef>
                      </c:ext>
                    </c:extLst>
                    <c:strCache>
                      <c:ptCount val="1"/>
                      <c:pt idx="0">
                        <c:v>Single Sided Flex Circuit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Africa'!$R$14:$AB$14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2.6184482994142666</c:v>
                      </c:pt>
                      <c:pt idx="1">
                        <c:v>3.2851148278721487</c:v>
                      </c:pt>
                      <c:pt idx="2">
                        <c:v>3.8996282781649017</c:v>
                      </c:pt>
                      <c:pt idx="3">
                        <c:v>5.1255471723676616</c:v>
                      </c:pt>
                      <c:pt idx="4">
                        <c:v>5.8764159167218999</c:v>
                      </c:pt>
                      <c:pt idx="5">
                        <c:v>6.507031164278132</c:v>
                      </c:pt>
                      <c:pt idx="6">
                        <c:v>7.8794086423370935</c:v>
                      </c:pt>
                      <c:pt idx="7">
                        <c:v>9.2317364156871093</c:v>
                      </c:pt>
                      <c:pt idx="8">
                        <c:v>10.360692248879189</c:v>
                      </c:pt>
                      <c:pt idx="9">
                        <c:v>11.429316176764326</c:v>
                      </c:pt>
                      <c:pt idx="10">
                        <c:v>12.451214928765776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591-4A4C-A56E-CB49D63B8D3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Africa'!$Q$15</c15:sqref>
                        </c15:formulaRef>
                      </c:ext>
                    </c:extLst>
                    <c:strCache>
                      <c:ptCount val="1"/>
                      <c:pt idx="0">
                        <c:v>Double Sided Flex Circuit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Africa'!$R$15:$AB$15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2.629707926219127</c:v>
                      </c:pt>
                      <c:pt idx="1">
                        <c:v>3.2964295283585576</c:v>
                      </c:pt>
                      <c:pt idx="2">
                        <c:v>3.9109921583813989</c:v>
                      </c:pt>
                      <c:pt idx="3">
                        <c:v>5.1370268265504393</c:v>
                      </c:pt>
                      <c:pt idx="4">
                        <c:v>5.8879591694375621</c:v>
                      </c:pt>
                      <c:pt idx="5">
                        <c:v>6.518624708971843</c:v>
                      </c:pt>
                      <c:pt idx="6">
                        <c:v>7.8911329190400892</c:v>
                      </c:pt>
                      <c:pt idx="7">
                        <c:v>9.243588819294434</c:v>
                      </c:pt>
                      <c:pt idx="8">
                        <c:v>10.372648159303587</c:v>
                      </c:pt>
                      <c:pt idx="9">
                        <c:v>11.441368725418055</c:v>
                      </c:pt>
                      <c:pt idx="10">
                        <c:v>12.463358748719555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591-4A4C-A56E-CB49D63B8D3C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Africa'!$Q$16</c15:sqref>
                        </c15:formulaRef>
                      </c:ext>
                    </c:extLst>
                    <c:strCache>
                      <c:ptCount val="1"/>
                      <c:pt idx="0">
                        <c:v>Multilayer Flex Circuit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Africa'!$R$16:$AB$16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2.5806979862236679</c:v>
                      </c:pt>
                      <c:pt idx="1">
                        <c:v>3.2471617441843126</c:v>
                      </c:pt>
                      <c:pt idx="2">
                        <c:v>3.8614920408270414</c:v>
                      </c:pt>
                      <c:pt idx="3">
                        <c:v>5.0870040464201516</c:v>
                      </c:pt>
                      <c:pt idx="4">
                        <c:v>5.8376408089904519</c:v>
                      </c:pt>
                      <c:pt idx="5">
                        <c:v>6.4680686048769864</c:v>
                      </c:pt>
                      <c:pt idx="6">
                        <c:v>7.8399880204618411</c:v>
                      </c:pt>
                      <c:pt idx="7">
                        <c:v>9.1918660915810015</c:v>
                      </c:pt>
                      <c:pt idx="8">
                        <c:v>10.320454687013857</c:v>
                      </c:pt>
                      <c:pt idx="9">
                        <c:v>11.388734188802484</c:v>
                      </c:pt>
                      <c:pt idx="10">
                        <c:v>12.410306300904317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591-4A4C-A56E-CB49D63B8D3C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Africa'!$Q$17</c15:sqref>
                        </c15:formulaRef>
                      </c:ext>
                    </c:extLst>
                    <c:strCache>
                      <c:ptCount val="1"/>
                      <c:pt idx="0">
                        <c:v>Rigid Flex Circuit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Africa'!$R$17:$AB$17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2.7519226210523717</c:v>
                      </c:pt>
                      <c:pt idx="1">
                        <c:v>3.4190824732649672</c:v>
                      </c:pt>
                      <c:pt idx="2">
                        <c:v>4.0340186449660642</c:v>
                      </c:pt>
                      <c:pt idx="3">
                        <c:v>5.2611461496955725</c:v>
                      </c:pt>
                      <c:pt idx="4">
                        <c:v>6.0126053489512055</c:v>
                      </c:pt>
                      <c:pt idx="5">
                        <c:v>6.6436531258145859</c:v>
                      </c:pt>
                      <c:pt idx="6">
                        <c:v>8.0174092098217251</c:v>
                      </c:pt>
                      <c:pt idx="7">
                        <c:v>9.3710820098149803</c:v>
                      </c:pt>
                      <c:pt idx="8">
                        <c:v>10.501090892622567</c:v>
                      </c:pt>
                      <c:pt idx="9">
                        <c:v>11.570685132646584</c:v>
                      </c:pt>
                      <c:pt idx="10">
                        <c:v>12.593489345624654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591-4A4C-A56E-CB49D63B8D3C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Africa'!$Q$18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Africa'!$R$18:$AB$18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2.7625158211823875</c:v>
                      </c:pt>
                      <c:pt idx="1">
                        <c:v>3.4296999200869926</c:v>
                      </c:pt>
                      <c:pt idx="2">
                        <c:v>4.0446547050364767</c:v>
                      </c:pt>
                      <c:pt idx="3">
                        <c:v>5.2718629040695575</c:v>
                      </c:pt>
                      <c:pt idx="4">
                        <c:v>6.0233538086647442</c:v>
                      </c:pt>
                      <c:pt idx="5">
                        <c:v>6.6544207783659326</c:v>
                      </c:pt>
                      <c:pt idx="6">
                        <c:v>8.0282704847477007</c:v>
                      </c:pt>
                      <c:pt idx="7">
                        <c:v>9.382034031882247</c:v>
                      </c:pt>
                      <c:pt idx="8">
                        <c:v>10.512110517822105</c:v>
                      </c:pt>
                      <c:pt idx="9">
                        <c:v>11.581765712921555</c:v>
                      </c:pt>
                      <c:pt idx="10">
                        <c:v>12.604625660551871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591-4A4C-A56E-CB49D63B8D3C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591-4A4C-A56E-CB49D63B8D3C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Africa'!$R$5:$AB$5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'Middle East &amp; Africa'!#REF!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591-4A4C-A56E-CB49D63B8D3C}"/>
                  </c:ext>
                </c:extLst>
              </c15:ser>
            </c15:filteredBarSeries>
          </c:ext>
        </c:extLst>
      </c:barChart>
      <c:catAx>
        <c:axId val="128536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550336"/>
        <c:crosses val="autoZero"/>
        <c:auto val="1"/>
        <c:lblAlgn val="ctr"/>
        <c:lblOffset val="100"/>
        <c:noMultiLvlLbl val="0"/>
      </c:catAx>
      <c:valAx>
        <c:axId val="1689550336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36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93413950071656E-2"/>
          <c:y val="0.87116471623166725"/>
          <c:w val="0.90755691158397656"/>
          <c:h val="9.88382356064928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190290</xdr:colOff>
      <xdr:row>37</xdr:row>
      <xdr:rowOff>59266</xdr:rowOff>
    </xdr:from>
    <xdr:to>
      <xdr:col>40</xdr:col>
      <xdr:colOff>541867</xdr:colOff>
      <xdr:row>53</xdr:row>
      <xdr:rowOff>67734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224578</xdr:colOff>
      <xdr:row>54</xdr:row>
      <xdr:rowOff>50802</xdr:rowOff>
    </xdr:from>
    <xdr:to>
      <xdr:col>41</xdr:col>
      <xdr:colOff>84666</xdr:colOff>
      <xdr:row>71</xdr:row>
      <xdr:rowOff>160869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287022</xdr:colOff>
      <xdr:row>74</xdr:row>
      <xdr:rowOff>64348</xdr:rowOff>
    </xdr:from>
    <xdr:to>
      <xdr:col>41</xdr:col>
      <xdr:colOff>42333</xdr:colOff>
      <xdr:row>91</xdr:row>
      <xdr:rowOff>110066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1811867</xdr:colOff>
      <xdr:row>36</xdr:row>
      <xdr:rowOff>16933</xdr:rowOff>
    </xdr:from>
    <xdr:to>
      <xdr:col>23</xdr:col>
      <xdr:colOff>59267</xdr:colOff>
      <xdr:row>52</xdr:row>
      <xdr:rowOff>50799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00A173-E71D-907F-7954-9193D12EB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406401</xdr:colOff>
      <xdr:row>35</xdr:row>
      <xdr:rowOff>131234</xdr:rowOff>
    </xdr:from>
    <xdr:to>
      <xdr:col>29</xdr:col>
      <xdr:colOff>711199</xdr:colOff>
      <xdr:row>52</xdr:row>
      <xdr:rowOff>59266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178F87-C445-7A33-B869-CD116A1B8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1227665</xdr:colOff>
      <xdr:row>36</xdr:row>
      <xdr:rowOff>8468</xdr:rowOff>
    </xdr:from>
    <xdr:to>
      <xdr:col>17</xdr:col>
      <xdr:colOff>620889</xdr:colOff>
      <xdr:row>52</xdr:row>
      <xdr:rowOff>62088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CDDDA8-F11D-78F7-A590-440EF8AC0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668867</xdr:colOff>
      <xdr:row>34</xdr:row>
      <xdr:rowOff>84665</xdr:rowOff>
    </xdr:from>
    <xdr:to>
      <xdr:col>36</xdr:col>
      <xdr:colOff>262467</xdr:colOff>
      <xdr:row>50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7794B3-992A-B2A9-DE2D-4172708B1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584201</xdr:colOff>
      <xdr:row>51</xdr:row>
      <xdr:rowOff>156629</xdr:rowOff>
    </xdr:from>
    <xdr:to>
      <xdr:col>36</xdr:col>
      <xdr:colOff>169334</xdr:colOff>
      <xdr:row>69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9620BC-09CE-0B2E-DDB3-8BAC2BD8E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550334</xdr:colOff>
      <xdr:row>70</xdr:row>
      <xdr:rowOff>59266</xdr:rowOff>
    </xdr:from>
    <xdr:to>
      <xdr:col>36</xdr:col>
      <xdr:colOff>135466</xdr:colOff>
      <xdr:row>88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47A78E-494F-FB91-8662-D651DB987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897466</xdr:colOff>
      <xdr:row>34</xdr:row>
      <xdr:rowOff>169335</xdr:rowOff>
    </xdr:from>
    <xdr:to>
      <xdr:col>23</xdr:col>
      <xdr:colOff>186267</xdr:colOff>
      <xdr:row>51</xdr:row>
      <xdr:rowOff>67734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EE653BB-FAC1-A472-FA11-E9D7F9A71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423331</xdr:colOff>
      <xdr:row>35</xdr:row>
      <xdr:rowOff>12697</xdr:rowOff>
    </xdr:from>
    <xdr:to>
      <xdr:col>27</xdr:col>
      <xdr:colOff>474133</xdr:colOff>
      <xdr:row>51</xdr:row>
      <xdr:rowOff>101599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C706597-84F5-2B6A-A4F2-C85CB4552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838200</xdr:colOff>
      <xdr:row>35</xdr:row>
      <xdr:rowOff>29634</xdr:rowOff>
    </xdr:from>
    <xdr:to>
      <xdr:col>18</xdr:col>
      <xdr:colOff>668867</xdr:colOff>
      <xdr:row>51</xdr:row>
      <xdr:rowOff>135466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D3CDCD-35CD-6EA0-5265-BABB4DBD1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1634068</xdr:colOff>
      <xdr:row>58</xdr:row>
      <xdr:rowOff>8467</xdr:rowOff>
    </xdr:from>
    <xdr:to>
      <xdr:col>33</xdr:col>
      <xdr:colOff>491068</xdr:colOff>
      <xdr:row>74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7C92FD-1D00-4644-740D-787452087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1727200</xdr:colOff>
      <xdr:row>76</xdr:row>
      <xdr:rowOff>33867</xdr:rowOff>
    </xdr:from>
    <xdr:to>
      <xdr:col>33</xdr:col>
      <xdr:colOff>516467</xdr:colOff>
      <xdr:row>94</xdr:row>
      <xdr:rowOff>25401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B4D625-8DC2-5E7A-9A56-CD3AD792B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1727200</xdr:colOff>
      <xdr:row>40</xdr:row>
      <xdr:rowOff>76201</xdr:rowOff>
    </xdr:from>
    <xdr:to>
      <xdr:col>33</xdr:col>
      <xdr:colOff>448733</xdr:colOff>
      <xdr:row>57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3D55DD1-0CEF-2C02-2A82-07407A202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541867</xdr:colOff>
      <xdr:row>39</xdr:row>
      <xdr:rowOff>160868</xdr:rowOff>
    </xdr:from>
    <xdr:to>
      <xdr:col>23</xdr:col>
      <xdr:colOff>855133</xdr:colOff>
      <xdr:row>55</xdr:row>
      <xdr:rowOff>93133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815AC43-C62F-888E-AD2F-C5871AB36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84668</xdr:colOff>
      <xdr:row>39</xdr:row>
      <xdr:rowOff>127000</xdr:rowOff>
    </xdr:from>
    <xdr:to>
      <xdr:col>28</xdr:col>
      <xdr:colOff>330201</xdr:colOff>
      <xdr:row>55</xdr:row>
      <xdr:rowOff>127000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1F0C50-7EC8-69FC-6FC5-2B6D18986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778933</xdr:colOff>
      <xdr:row>40</xdr:row>
      <xdr:rowOff>0</xdr:rowOff>
    </xdr:from>
    <xdr:to>
      <xdr:col>19</xdr:col>
      <xdr:colOff>237067</xdr:colOff>
      <xdr:row>55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519FBD-17CB-7C89-F097-9787858AD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16933</xdr:colOff>
      <xdr:row>56</xdr:row>
      <xdr:rowOff>118534</xdr:rowOff>
    </xdr:from>
    <xdr:to>
      <xdr:col>33</xdr:col>
      <xdr:colOff>829732</xdr:colOff>
      <xdr:row>74</xdr:row>
      <xdr:rowOff>84667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E9D3C7-7EC2-E1AF-878D-F41A34578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2286000</xdr:colOff>
      <xdr:row>76</xdr:row>
      <xdr:rowOff>50800</xdr:rowOff>
    </xdr:from>
    <xdr:to>
      <xdr:col>33</xdr:col>
      <xdr:colOff>643464</xdr:colOff>
      <xdr:row>94</xdr:row>
      <xdr:rowOff>25399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2BE4DC-911E-9200-159B-080765D69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194731</xdr:colOff>
      <xdr:row>39</xdr:row>
      <xdr:rowOff>126999</xdr:rowOff>
    </xdr:from>
    <xdr:to>
      <xdr:col>33</xdr:col>
      <xdr:colOff>863600</xdr:colOff>
      <xdr:row>55</xdr:row>
      <xdr:rowOff>67734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DC4E573-89FA-E275-C4B0-21CA830C7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110067</xdr:colOff>
      <xdr:row>41</xdr:row>
      <xdr:rowOff>16934</xdr:rowOff>
    </xdr:from>
    <xdr:to>
      <xdr:col>23</xdr:col>
      <xdr:colOff>448732</xdr:colOff>
      <xdr:row>56</xdr:row>
      <xdr:rowOff>143934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0C82190-DE39-2AFE-95F5-2C7854281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745066</xdr:colOff>
      <xdr:row>40</xdr:row>
      <xdr:rowOff>118535</xdr:rowOff>
    </xdr:from>
    <xdr:to>
      <xdr:col>27</xdr:col>
      <xdr:colOff>1066799</xdr:colOff>
      <xdr:row>56</xdr:row>
      <xdr:rowOff>50803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4B6D453-92B9-24CA-26C4-A070D8980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660400</xdr:colOff>
      <xdr:row>41</xdr:row>
      <xdr:rowOff>84668</xdr:rowOff>
    </xdr:from>
    <xdr:to>
      <xdr:col>18</xdr:col>
      <xdr:colOff>982132</xdr:colOff>
      <xdr:row>56</xdr:row>
      <xdr:rowOff>110068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829B3D6-5079-929D-E485-101138A99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711200</xdr:colOff>
      <xdr:row>57</xdr:row>
      <xdr:rowOff>169334</xdr:rowOff>
    </xdr:from>
    <xdr:to>
      <xdr:col>19</xdr:col>
      <xdr:colOff>364067</xdr:colOff>
      <xdr:row>73</xdr:row>
      <xdr:rowOff>101601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FEC48-08A7-4E03-BEA8-AA0D308CB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338666</xdr:colOff>
      <xdr:row>55</xdr:row>
      <xdr:rowOff>42334</xdr:rowOff>
    </xdr:from>
    <xdr:to>
      <xdr:col>35</xdr:col>
      <xdr:colOff>550332</xdr:colOff>
      <xdr:row>73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B2AADB-A672-B398-3D6B-5D6CD7D68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304803</xdr:colOff>
      <xdr:row>74</xdr:row>
      <xdr:rowOff>122764</xdr:rowOff>
    </xdr:from>
    <xdr:to>
      <xdr:col>35</xdr:col>
      <xdr:colOff>397934</xdr:colOff>
      <xdr:row>92</xdr:row>
      <xdr:rowOff>59267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A3C147-1C0D-8B19-B3FE-C8F5A6FBC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330201</xdr:colOff>
      <xdr:row>38</xdr:row>
      <xdr:rowOff>93134</xdr:rowOff>
    </xdr:from>
    <xdr:to>
      <xdr:col>35</xdr:col>
      <xdr:colOff>448733</xdr:colOff>
      <xdr:row>54</xdr:row>
      <xdr:rowOff>67734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DEE7980-B445-9A5E-E8B1-66EB7E73C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846668</xdr:colOff>
      <xdr:row>38</xdr:row>
      <xdr:rowOff>76200</xdr:rowOff>
    </xdr:from>
    <xdr:to>
      <xdr:col>24</xdr:col>
      <xdr:colOff>169333</xdr:colOff>
      <xdr:row>54</xdr:row>
      <xdr:rowOff>42332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E94C135-8B0A-F32B-DC47-2F05AE5DB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338666</xdr:colOff>
      <xdr:row>38</xdr:row>
      <xdr:rowOff>101600</xdr:rowOff>
    </xdr:from>
    <xdr:to>
      <xdr:col>28</xdr:col>
      <xdr:colOff>626534</xdr:colOff>
      <xdr:row>54</xdr:row>
      <xdr:rowOff>84667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A58326F-74C6-D81E-1D60-F3EE947CE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1058333</xdr:colOff>
      <xdr:row>39</xdr:row>
      <xdr:rowOff>16934</xdr:rowOff>
    </xdr:from>
    <xdr:to>
      <xdr:col>19</xdr:col>
      <xdr:colOff>541866</xdr:colOff>
      <xdr:row>54</xdr:row>
      <xdr:rowOff>80433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C62E023-9B27-0EDE-F0F6-6F6FFF7FD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829735</xdr:colOff>
      <xdr:row>55</xdr:row>
      <xdr:rowOff>38099</xdr:rowOff>
    </xdr:from>
    <xdr:to>
      <xdr:col>34</xdr:col>
      <xdr:colOff>474133</xdr:colOff>
      <xdr:row>72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2E91EC-50AD-A182-6786-E484DEAD9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804335</xdr:colOff>
      <xdr:row>74</xdr:row>
      <xdr:rowOff>8467</xdr:rowOff>
    </xdr:from>
    <xdr:to>
      <xdr:col>34</xdr:col>
      <xdr:colOff>431801</xdr:colOff>
      <xdr:row>91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02161B-7E1F-2DF1-66A6-4BA1B95DE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914400</xdr:colOff>
      <xdr:row>36</xdr:row>
      <xdr:rowOff>169333</xdr:rowOff>
    </xdr:from>
    <xdr:to>
      <xdr:col>34</xdr:col>
      <xdr:colOff>431800</xdr:colOff>
      <xdr:row>53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0154724-9F08-EFF6-7336-5F1F5F33D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863600</xdr:colOff>
      <xdr:row>37</xdr:row>
      <xdr:rowOff>84666</xdr:rowOff>
    </xdr:from>
    <xdr:to>
      <xdr:col>23</xdr:col>
      <xdr:colOff>93133</xdr:colOff>
      <xdr:row>52</xdr:row>
      <xdr:rowOff>118533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BBC2BC6-2723-31A7-B2DD-B8ECD01F6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508000</xdr:colOff>
      <xdr:row>37</xdr:row>
      <xdr:rowOff>46567</xdr:rowOff>
    </xdr:from>
    <xdr:to>
      <xdr:col>27</xdr:col>
      <xdr:colOff>508001</xdr:colOff>
      <xdr:row>52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93C19B0-8BBB-4889-50FE-09190C8EA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296334</xdr:colOff>
      <xdr:row>37</xdr:row>
      <xdr:rowOff>110066</xdr:rowOff>
    </xdr:from>
    <xdr:to>
      <xdr:col>18</xdr:col>
      <xdr:colOff>668866</xdr:colOff>
      <xdr:row>52</xdr:row>
      <xdr:rowOff>76201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D39386D-6837-1BDA-2041-57EEE5122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9"/>
  <sheetViews>
    <sheetView topLeftCell="T1" zoomScale="90" zoomScaleNormal="90" workbookViewId="0">
      <selection activeCell="C20" sqref="C20"/>
    </sheetView>
  </sheetViews>
  <sheetFormatPr baseColWidth="10" defaultColWidth="15.83203125" defaultRowHeight="15" x14ac:dyDescent="0.2"/>
  <cols>
    <col min="1" max="1" width="6.33203125" style="9" customWidth="1"/>
    <col min="2" max="2" width="32.1640625" style="9" customWidth="1"/>
    <col min="3" max="9" width="11.33203125" style="12" bestFit="1" customWidth="1"/>
    <col min="10" max="10" width="11.1640625" style="12" bestFit="1" customWidth="1"/>
    <col min="11" max="12" width="12.1640625" style="12" bestFit="1" customWidth="1"/>
    <col min="13" max="13" width="11.33203125" style="12" bestFit="1" customWidth="1"/>
    <col min="14" max="14" width="11.5" style="12" customWidth="1"/>
    <col min="15" max="15" width="19" style="106" bestFit="1" customWidth="1"/>
    <col min="16" max="16" width="12" style="9" customWidth="1"/>
    <col min="17" max="17" width="36.1640625" style="9" customWidth="1"/>
    <col min="18" max="18" width="10.5" style="12" customWidth="1"/>
    <col min="19" max="19" width="9.6640625" style="12" customWidth="1"/>
    <col min="20" max="21" width="9.5" style="12" customWidth="1"/>
    <col min="22" max="22" width="9.1640625" style="12" bestFit="1" customWidth="1"/>
    <col min="23" max="23" width="8.83203125" style="12" customWidth="1"/>
    <col min="24" max="25" width="9.1640625" style="12" bestFit="1" customWidth="1"/>
    <col min="26" max="26" width="9.1640625" style="12" customWidth="1"/>
    <col min="27" max="27" width="8.83203125" style="12" customWidth="1"/>
    <col min="28" max="28" width="9.1640625" style="36" customWidth="1"/>
    <col min="29" max="29" width="14.6640625" style="125" customWidth="1"/>
    <col min="30" max="30" width="37" style="9" customWidth="1"/>
    <col min="31" max="31" width="9.33203125" style="12" customWidth="1"/>
    <col min="32" max="32" width="9.33203125" style="12" bestFit="1" customWidth="1"/>
    <col min="33" max="33" width="9.83203125" style="12" customWidth="1"/>
    <col min="34" max="40" width="9.33203125" style="12" bestFit="1" customWidth="1"/>
    <col min="41" max="41" width="9.1640625" style="12" bestFit="1" customWidth="1"/>
    <col min="42" max="42" width="8.83203125" style="12" customWidth="1"/>
    <col min="43" max="43" width="5.5" style="40" customWidth="1"/>
    <col min="44" max="44" width="6.1640625" style="26" customWidth="1"/>
    <col min="45" max="45" width="11.33203125" style="9" bestFit="1" customWidth="1"/>
    <col min="46" max="46" width="11.1640625" style="9" bestFit="1" customWidth="1"/>
    <col min="47" max="47" width="7" style="9" customWidth="1"/>
    <col min="48" max="48" width="7.6640625" style="9" customWidth="1"/>
    <col min="49" max="16384" width="15.83203125" style="9"/>
  </cols>
  <sheetData>
    <row r="1" spans="1:48" x14ac:dyDescent="0.2"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48" x14ac:dyDescent="0.2"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48" ht="16" x14ac:dyDescent="0.2">
      <c r="A3" s="65"/>
      <c r="D3" s="39"/>
      <c r="F3" s="57"/>
      <c r="G3" s="57"/>
      <c r="H3" s="57"/>
      <c r="I3" s="57"/>
      <c r="J3" s="57"/>
      <c r="K3" s="57"/>
      <c r="L3" s="57"/>
      <c r="M3" s="57"/>
      <c r="N3" s="57"/>
    </row>
    <row r="4" spans="1:48" ht="15" customHeight="1" x14ac:dyDescent="0.2">
      <c r="B4" s="179" t="s">
        <v>32</v>
      </c>
      <c r="C4" s="11"/>
      <c r="D4" s="180" t="s">
        <v>3</v>
      </c>
      <c r="E4" s="180"/>
      <c r="F4" s="180"/>
      <c r="G4" s="180"/>
      <c r="H4" s="180"/>
      <c r="I4" s="180"/>
      <c r="J4" s="180"/>
      <c r="K4" s="180"/>
      <c r="L4" s="180"/>
      <c r="M4" s="180"/>
      <c r="N4" s="11"/>
      <c r="Q4" s="179" t="s">
        <v>32</v>
      </c>
      <c r="R4" s="28"/>
      <c r="S4" s="180" t="s">
        <v>4</v>
      </c>
      <c r="T4" s="180"/>
      <c r="U4" s="180"/>
      <c r="V4" s="180"/>
      <c r="W4" s="180"/>
      <c r="X4" s="180"/>
      <c r="Y4" s="180"/>
      <c r="Z4" s="180"/>
      <c r="AA4" s="180"/>
      <c r="AB4" s="180"/>
      <c r="AC4" s="126"/>
      <c r="AD4" s="179" t="s">
        <v>32</v>
      </c>
      <c r="AE4" s="13"/>
      <c r="AF4" s="178" t="s">
        <v>0</v>
      </c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S4" s="94"/>
    </row>
    <row r="5" spans="1:48" x14ac:dyDescent="0.2">
      <c r="B5" s="179"/>
      <c r="C5" s="29">
        <v>2019</v>
      </c>
      <c r="D5" s="29">
        <v>2020</v>
      </c>
      <c r="E5" s="29">
        <v>2021</v>
      </c>
      <c r="F5" s="29">
        <v>2022</v>
      </c>
      <c r="G5" s="29">
        <v>2023</v>
      </c>
      <c r="H5" s="29">
        <v>2024</v>
      </c>
      <c r="I5" s="29">
        <v>2025</v>
      </c>
      <c r="J5" s="29">
        <v>2026</v>
      </c>
      <c r="K5" s="29">
        <v>2027</v>
      </c>
      <c r="L5" s="29">
        <v>2028</v>
      </c>
      <c r="M5" s="29">
        <v>2029</v>
      </c>
      <c r="N5" s="29">
        <v>2030</v>
      </c>
      <c r="O5" s="107" t="s">
        <v>5</v>
      </c>
      <c r="Q5" s="179"/>
      <c r="R5" s="29">
        <v>2020</v>
      </c>
      <c r="S5" s="29">
        <v>2021</v>
      </c>
      <c r="T5" s="29">
        <v>2022</v>
      </c>
      <c r="U5" s="29">
        <v>2023</v>
      </c>
      <c r="V5" s="29">
        <v>2024</v>
      </c>
      <c r="W5" s="29">
        <v>2025</v>
      </c>
      <c r="X5" s="29">
        <v>2026</v>
      </c>
      <c r="Y5" s="29">
        <v>2027</v>
      </c>
      <c r="Z5" s="29">
        <v>2028</v>
      </c>
      <c r="AA5" s="29">
        <v>2029</v>
      </c>
      <c r="AB5" s="29">
        <v>2030</v>
      </c>
      <c r="AC5" s="126"/>
      <c r="AD5" s="179"/>
      <c r="AE5" s="29">
        <v>2019</v>
      </c>
      <c r="AF5" s="29">
        <v>2020</v>
      </c>
      <c r="AG5" s="29">
        <v>2021</v>
      </c>
      <c r="AH5" s="29">
        <v>2022</v>
      </c>
      <c r="AI5" s="29">
        <v>2023</v>
      </c>
      <c r="AJ5" s="29">
        <v>2024</v>
      </c>
      <c r="AK5" s="29">
        <v>2025</v>
      </c>
      <c r="AL5" s="29">
        <v>2026</v>
      </c>
      <c r="AM5" s="29">
        <v>2027</v>
      </c>
      <c r="AN5" s="29">
        <v>2028</v>
      </c>
      <c r="AO5" s="29">
        <v>2029</v>
      </c>
      <c r="AP5" s="29">
        <v>2030</v>
      </c>
      <c r="AS5" s="94"/>
      <c r="AT5" s="31"/>
    </row>
    <row r="6" spans="1:48" x14ac:dyDescent="0.2">
      <c r="B6" s="179"/>
      <c r="E6" s="39"/>
      <c r="Q6" s="179"/>
      <c r="AD6" s="179"/>
      <c r="AE6" s="16"/>
      <c r="AG6" s="39"/>
      <c r="AQ6" s="59"/>
      <c r="AR6" s="95"/>
      <c r="AS6" s="94"/>
      <c r="AT6" s="31"/>
      <c r="AU6" s="56"/>
      <c r="AV6" s="56"/>
    </row>
    <row r="7" spans="1:48" x14ac:dyDescent="0.2">
      <c r="B7" s="17" t="s">
        <v>70</v>
      </c>
      <c r="C7" s="28">
        <v>27500</v>
      </c>
      <c r="D7" s="28">
        <v>28100</v>
      </c>
      <c r="E7" s="28">
        <v>28900</v>
      </c>
      <c r="F7" s="28">
        <v>29900</v>
      </c>
      <c r="G7" s="28">
        <v>31300</v>
      </c>
      <c r="H7" s="28">
        <v>33000</v>
      </c>
      <c r="I7" s="28">
        <v>35000</v>
      </c>
      <c r="J7" s="28">
        <v>37600</v>
      </c>
      <c r="K7" s="28">
        <v>40900</v>
      </c>
      <c r="L7" s="28">
        <v>44950</v>
      </c>
      <c r="M7" s="28">
        <v>49880</v>
      </c>
      <c r="N7" s="28">
        <v>55859</v>
      </c>
      <c r="O7" s="108">
        <f>((N7/H7)^(1/7)-1)*100%</f>
        <v>7.8087905180006523E-2</v>
      </c>
      <c r="P7" s="24"/>
      <c r="Q7" s="17" t="s">
        <v>9</v>
      </c>
      <c r="R7" s="28">
        <f t="shared" ref="R7:AB18" si="0">(D7/C7-1)*100</f>
        <v>2.1818181818181737</v>
      </c>
      <c r="S7" s="28">
        <f t="shared" si="0"/>
        <v>2.8469750889679624</v>
      </c>
      <c r="T7" s="28">
        <f t="shared" si="0"/>
        <v>3.460207612456756</v>
      </c>
      <c r="U7" s="28">
        <f t="shared" si="0"/>
        <v>4.6822742474916357</v>
      </c>
      <c r="V7" s="28">
        <f t="shared" si="0"/>
        <v>5.4313099041533475</v>
      </c>
      <c r="W7" s="28">
        <f t="shared" si="0"/>
        <v>6.0606060606060552</v>
      </c>
      <c r="X7" s="28">
        <f t="shared" si="0"/>
        <v>7.4285714285714288</v>
      </c>
      <c r="Y7" s="28">
        <f t="shared" si="0"/>
        <v>8.7765957446808596</v>
      </c>
      <c r="Z7" s="28">
        <f t="shared" si="0"/>
        <v>9.902200488997547</v>
      </c>
      <c r="AA7" s="28">
        <f t="shared" si="0"/>
        <v>10.967741935483865</v>
      </c>
      <c r="AB7" s="28">
        <f t="shared" si="0"/>
        <v>11.986768243785084</v>
      </c>
      <c r="AC7" s="25"/>
      <c r="AD7" s="17" t="s">
        <v>9</v>
      </c>
      <c r="AE7" s="20">
        <v>1</v>
      </c>
      <c r="AF7" s="20">
        <v>1</v>
      </c>
      <c r="AG7" s="20">
        <v>1</v>
      </c>
      <c r="AH7" s="20">
        <v>1</v>
      </c>
      <c r="AI7" s="20">
        <v>1</v>
      </c>
      <c r="AJ7" s="20">
        <v>1</v>
      </c>
      <c r="AK7" s="20">
        <v>1</v>
      </c>
      <c r="AL7" s="20">
        <v>1</v>
      </c>
      <c r="AM7" s="20">
        <v>1</v>
      </c>
      <c r="AN7" s="20">
        <v>1</v>
      </c>
      <c r="AO7" s="20">
        <v>1</v>
      </c>
      <c r="AP7" s="20">
        <v>1</v>
      </c>
      <c r="AQ7" s="59"/>
      <c r="AR7" s="95"/>
      <c r="AS7" s="31"/>
      <c r="AT7" s="31"/>
    </row>
    <row r="8" spans="1:48" s="115" customFormat="1" x14ac:dyDescent="0.2">
      <c r="B8" s="99" t="s">
        <v>10</v>
      </c>
      <c r="C8" s="130">
        <f>C$7*AE8</f>
        <v>15125.000000000002</v>
      </c>
      <c r="D8" s="130">
        <f t="shared" ref="D8:N8" si="1">D$7*AF8</f>
        <v>15449.890909090911</v>
      </c>
      <c r="E8" s="130">
        <f t="shared" si="1"/>
        <v>15884.490909090911</v>
      </c>
      <c r="F8" s="130">
        <f t="shared" si="1"/>
        <v>16428.69090909091</v>
      </c>
      <c r="G8" s="130">
        <f t="shared" si="1"/>
        <v>17192.236363636366</v>
      </c>
      <c r="H8" s="130">
        <f t="shared" si="1"/>
        <v>18120</v>
      </c>
      <c r="I8" s="130">
        <f t="shared" si="1"/>
        <v>19211.81818181818</v>
      </c>
      <c r="J8" s="130">
        <f t="shared" si="1"/>
        <v>20632.145454545454</v>
      </c>
      <c r="K8" s="130">
        <f t="shared" si="1"/>
        <v>22435.50909090909</v>
      </c>
      <c r="L8" s="130">
        <f t="shared" si="1"/>
        <v>24648.945454545457</v>
      </c>
      <c r="M8" s="130">
        <f t="shared" si="1"/>
        <v>27343.309090909093</v>
      </c>
      <c r="N8" s="130">
        <f t="shared" si="1"/>
        <v>30610.732000000004</v>
      </c>
      <c r="O8" s="131">
        <f t="shared" ref="O8:O18" si="2">((N8/H8)^(1/7)-1)*100%</f>
        <v>7.7781659108648649E-2</v>
      </c>
      <c r="P8" s="132"/>
      <c r="Q8" s="99" t="s">
        <v>10</v>
      </c>
      <c r="R8" s="133">
        <f t="shared" si="0"/>
        <v>2.1480390683696449</v>
      </c>
      <c r="S8" s="133">
        <f t="shared" si="0"/>
        <v>2.8129648458830037</v>
      </c>
      <c r="T8" s="133">
        <f t="shared" si="0"/>
        <v>3.425983263263066</v>
      </c>
      <c r="U8" s="133">
        <f t="shared" si="0"/>
        <v>4.6476341832138557</v>
      </c>
      <c r="V8" s="133">
        <f t="shared" si="0"/>
        <v>5.3964104305008531</v>
      </c>
      <c r="W8" s="133">
        <f t="shared" si="0"/>
        <v>6.0254866546257224</v>
      </c>
      <c r="X8" s="133">
        <f t="shared" si="0"/>
        <v>7.3929872710926103</v>
      </c>
      <c r="Y8" s="133">
        <f t="shared" si="0"/>
        <v>8.7405531350901668</v>
      </c>
      <c r="Z8" s="133">
        <f t="shared" si="0"/>
        <v>9.8657728454811568</v>
      </c>
      <c r="AA8" s="133">
        <f t="shared" si="0"/>
        <v>10.930948917600759</v>
      </c>
      <c r="AB8" s="133">
        <f t="shared" si="0"/>
        <v>11.949625037070732</v>
      </c>
      <c r="AC8" s="132">
        <v>0.01</v>
      </c>
      <c r="AD8" s="99" t="s">
        <v>10</v>
      </c>
      <c r="AE8" s="76">
        <v>0.55000000000000004</v>
      </c>
      <c r="AF8" s="76">
        <v>0.54981818181818187</v>
      </c>
      <c r="AG8" s="76">
        <v>0.5496363636363637</v>
      </c>
      <c r="AH8" s="76">
        <v>0.54945454545454553</v>
      </c>
      <c r="AI8" s="76">
        <v>0.54927272727272736</v>
      </c>
      <c r="AJ8" s="76">
        <v>0.54909090909090907</v>
      </c>
      <c r="AK8" s="76">
        <v>0.5489090909090909</v>
      </c>
      <c r="AL8" s="76">
        <v>0.54872727272727273</v>
      </c>
      <c r="AM8" s="76">
        <v>0.54854545454545456</v>
      </c>
      <c r="AN8" s="76">
        <v>0.54836363636363639</v>
      </c>
      <c r="AO8" s="76">
        <v>0.54818181818181821</v>
      </c>
      <c r="AP8" s="76">
        <v>0.54800000000000004</v>
      </c>
      <c r="AQ8" s="141"/>
      <c r="AR8" s="95"/>
      <c r="AS8" s="134"/>
      <c r="AT8" s="144"/>
      <c r="AU8" s="128"/>
    </row>
    <row r="9" spans="1:48" s="166" customFormat="1" x14ac:dyDescent="0.2">
      <c r="B9" s="129" t="s">
        <v>11</v>
      </c>
      <c r="C9" s="104">
        <f>C7*AE9</f>
        <v>5500.0000000000009</v>
      </c>
      <c r="D9" s="104">
        <f t="shared" ref="D9" si="3">D7*AF9</f>
        <v>5609.2709090909102</v>
      </c>
      <c r="E9" s="104">
        <f t="shared" ref="E9" si="4">E7*AG9</f>
        <v>5757.9309090909101</v>
      </c>
      <c r="F9" s="104">
        <f t="shared" ref="F9" si="5">F7*AH9</f>
        <v>5945.7509090909098</v>
      </c>
      <c r="G9" s="104">
        <f t="shared" ref="G9" si="6">G7*AI9</f>
        <v>6212.1963636363644</v>
      </c>
      <c r="H9" s="104">
        <f t="shared" ref="H9" si="7">H7*AJ9</f>
        <v>6537.0000000000009</v>
      </c>
      <c r="I9" s="104">
        <f t="shared" ref="I9" si="8">I7*AK9</f>
        <v>6919.8181818181829</v>
      </c>
      <c r="J9" s="104">
        <f t="shared" ref="J9" si="9">J7*AL9</f>
        <v>7419.5054545454559</v>
      </c>
      <c r="K9" s="104">
        <f t="shared" ref="K9" si="10">K7*AM9</f>
        <v>8055.0690909090918</v>
      </c>
      <c r="L9" s="104">
        <f t="shared" ref="L9" si="11">L7*AN9</f>
        <v>8835.5354545454557</v>
      </c>
      <c r="M9" s="104">
        <f t="shared" ref="M9" si="12">M7*AO9</f>
        <v>9785.5490909090913</v>
      </c>
      <c r="N9" s="104">
        <f t="shared" ref="N9" si="13">N7*AP9</f>
        <v>10937.192200000001</v>
      </c>
      <c r="O9" s="167">
        <f t="shared" si="2"/>
        <v>7.6297867686686338E-2</v>
      </c>
      <c r="P9" s="162"/>
      <c r="Q9" s="129" t="s">
        <v>11</v>
      </c>
      <c r="R9" s="163">
        <f t="shared" si="0"/>
        <v>1.9867438016528904</v>
      </c>
      <c r="S9" s="163">
        <f t="shared" si="0"/>
        <v>2.650255307852345</v>
      </c>
      <c r="T9" s="163">
        <f t="shared" si="0"/>
        <v>3.2619356321810011</v>
      </c>
      <c r="U9" s="163">
        <f t="shared" si="0"/>
        <v>4.4812750924036582</v>
      </c>
      <c r="V9" s="163">
        <f t="shared" si="0"/>
        <v>5.2284830895704237</v>
      </c>
      <c r="W9" s="163">
        <f t="shared" si="0"/>
        <v>5.8561753375888426</v>
      </c>
      <c r="X9" s="163">
        <f t="shared" si="0"/>
        <v>7.2211040752515832</v>
      </c>
      <c r="Y9" s="163">
        <f t="shared" si="0"/>
        <v>8.5661185945252747</v>
      </c>
      <c r="Z9" s="163">
        <f t="shared" si="0"/>
        <v>9.6891330766758266</v>
      </c>
      <c r="AA9" s="163">
        <f t="shared" si="0"/>
        <v>10.752190868917854</v>
      </c>
      <c r="AB9" s="163">
        <f t="shared" si="0"/>
        <v>11.768814385293936</v>
      </c>
      <c r="AC9" s="168">
        <v>0.01</v>
      </c>
      <c r="AD9" s="129" t="s">
        <v>11</v>
      </c>
      <c r="AE9" s="85">
        <v>0.20000000000000004</v>
      </c>
      <c r="AF9" s="85">
        <v>0.19961818181818186</v>
      </c>
      <c r="AG9" s="85">
        <v>0.19923636363636366</v>
      </c>
      <c r="AH9" s="85">
        <v>0.19885454545454548</v>
      </c>
      <c r="AI9" s="85">
        <v>0.1984727272727273</v>
      </c>
      <c r="AJ9" s="85">
        <v>0.19809090909090912</v>
      </c>
      <c r="AK9" s="85">
        <v>0.19770909090909095</v>
      </c>
      <c r="AL9" s="85">
        <v>0.19732727272727277</v>
      </c>
      <c r="AM9" s="85">
        <v>0.19694545454545456</v>
      </c>
      <c r="AN9" s="85">
        <v>0.19656363636363638</v>
      </c>
      <c r="AO9" s="85">
        <v>0.19618181818181821</v>
      </c>
      <c r="AP9" s="85">
        <v>0.19580000000000003</v>
      </c>
      <c r="AQ9" s="169"/>
      <c r="AR9" s="170"/>
      <c r="AS9" s="171"/>
      <c r="AT9" s="171"/>
    </row>
    <row r="10" spans="1:48" s="90" customFormat="1" x14ac:dyDescent="0.2">
      <c r="B10" s="91" t="s">
        <v>12</v>
      </c>
      <c r="C10" s="79">
        <f>C7*AE10</f>
        <v>3025</v>
      </c>
      <c r="D10" s="79">
        <f t="shared" ref="D10:N10" si="14">D7*AF10</f>
        <v>3092.7881818181818</v>
      </c>
      <c r="E10" s="79">
        <f t="shared" si="14"/>
        <v>3182.6781818181817</v>
      </c>
      <c r="F10" s="79">
        <f t="shared" si="14"/>
        <v>3294.7081818181819</v>
      </c>
      <c r="G10" s="79">
        <f t="shared" si="14"/>
        <v>3450.9672727272728</v>
      </c>
      <c r="H10" s="79">
        <f t="shared" si="14"/>
        <v>3640.5000000000005</v>
      </c>
      <c r="I10" s="79">
        <f t="shared" si="14"/>
        <v>3863.3636363636369</v>
      </c>
      <c r="J10" s="79">
        <f t="shared" si="14"/>
        <v>4152.7490909090911</v>
      </c>
      <c r="K10" s="79">
        <f t="shared" si="14"/>
        <v>4519.8218181818183</v>
      </c>
      <c r="L10" s="79">
        <f t="shared" si="14"/>
        <v>4970.244090909091</v>
      </c>
      <c r="M10" s="79">
        <f t="shared" si="14"/>
        <v>5518.5418181818186</v>
      </c>
      <c r="N10" s="79">
        <f t="shared" si="14"/>
        <v>6183.5913</v>
      </c>
      <c r="O10" s="172">
        <f t="shared" si="2"/>
        <v>7.8620163366151186E-2</v>
      </c>
      <c r="P10" s="80"/>
      <c r="Q10" s="91" t="s">
        <v>12</v>
      </c>
      <c r="R10" s="81">
        <f>(D10/C10-1)*100</f>
        <v>2.2409316303531268</v>
      </c>
      <c r="S10" s="81">
        <f t="shared" ref="S10:S18" si="15">(E10/D10-1)*100</f>
        <v>2.9064389384453548</v>
      </c>
      <c r="T10" s="81">
        <f t="shared" ref="T10:T18" si="16">(F10/E10-1)*100</f>
        <v>3.5199914537385135</v>
      </c>
      <c r="U10" s="81">
        <f t="shared" ref="U10:U18" si="17">(G10/F10-1)*100</f>
        <v>4.7427293188333053</v>
      </c>
      <c r="V10" s="81">
        <f t="shared" ref="V10:V18" si="18">(H10/G10-1)*100</f>
        <v>5.4921624082207465</v>
      </c>
      <c r="W10" s="81">
        <f t="shared" ref="W10:W18" si="19">(I10/H10-1)*100</f>
        <v>6.1217864678927647</v>
      </c>
      <c r="X10" s="81">
        <f t="shared" ref="X10:X18" si="20">(J10/I10-1)*100</f>
        <v>7.4905052121326143</v>
      </c>
      <c r="Y10" s="81">
        <f t="shared" ref="Y10:Y18" si="21">(K10/J10-1)*100</f>
        <v>8.8392705467396748</v>
      </c>
      <c r="Z10" s="81">
        <f t="shared" ref="Z10:Z18" si="22">(L10/K10-1)*100</f>
        <v>9.9654873764130727</v>
      </c>
      <c r="AA10" s="81">
        <f t="shared" ref="AA10:AA18" si="23">(M10/L10-1)*100</f>
        <v>11.031605636342912</v>
      </c>
      <c r="AB10" s="81">
        <f t="shared" ref="AB10:AB18" si="24">(N10/M10-1)*100</f>
        <v>12.051181339734661</v>
      </c>
      <c r="AC10" s="97">
        <v>0.03</v>
      </c>
      <c r="AD10" s="91" t="s">
        <v>12</v>
      </c>
      <c r="AE10" s="82">
        <v>0.11</v>
      </c>
      <c r="AF10" s="82">
        <v>0.11006363636363636</v>
      </c>
      <c r="AG10" s="82">
        <v>0.11012727272727273</v>
      </c>
      <c r="AH10" s="82">
        <v>0.11019090909090909</v>
      </c>
      <c r="AI10" s="82">
        <v>0.11025454545454545</v>
      </c>
      <c r="AJ10" s="82">
        <v>0.11031818181818183</v>
      </c>
      <c r="AK10" s="82">
        <v>0.11038181818181819</v>
      </c>
      <c r="AL10" s="82">
        <v>0.11044545454545455</v>
      </c>
      <c r="AM10" s="82">
        <v>0.11050909090909092</v>
      </c>
      <c r="AN10" s="82">
        <v>0.11057272727272728</v>
      </c>
      <c r="AO10" s="82">
        <v>0.11063636363636364</v>
      </c>
      <c r="AP10" s="82">
        <v>0.11070000000000001</v>
      </c>
      <c r="AQ10" s="170"/>
      <c r="AR10" s="170"/>
      <c r="AT10" s="171"/>
    </row>
    <row r="11" spans="1:48" s="78" customFormat="1" x14ac:dyDescent="0.2">
      <c r="B11" s="90" t="s">
        <v>14</v>
      </c>
      <c r="C11" s="79">
        <f t="shared" ref="C11:N11" si="25">C7*AE11</f>
        <v>3850.0000000000005</v>
      </c>
      <c r="D11" s="79">
        <f t="shared" si="25"/>
        <v>3935.2772727272732</v>
      </c>
      <c r="E11" s="79">
        <f t="shared" si="25"/>
        <v>4048.6272727272731</v>
      </c>
      <c r="F11" s="79">
        <f t="shared" si="25"/>
        <v>4190.0772727272733</v>
      </c>
      <c r="G11" s="79">
        <f t="shared" si="25"/>
        <v>4387.6909090909094</v>
      </c>
      <c r="H11" s="79">
        <f t="shared" si="25"/>
        <v>4627.5000000000009</v>
      </c>
      <c r="I11" s="79">
        <f t="shared" si="25"/>
        <v>4909.5454545454559</v>
      </c>
      <c r="J11" s="79">
        <f t="shared" si="25"/>
        <v>5275.9636363636373</v>
      </c>
      <c r="K11" s="79">
        <f t="shared" si="25"/>
        <v>5740.8727272727283</v>
      </c>
      <c r="L11" s="79">
        <f t="shared" si="25"/>
        <v>6311.3886363636375</v>
      </c>
      <c r="M11" s="79">
        <f t="shared" si="25"/>
        <v>7005.8727272727283</v>
      </c>
      <c r="N11" s="79">
        <f t="shared" si="25"/>
        <v>7848.1895000000004</v>
      </c>
      <c r="O11" s="172">
        <f t="shared" si="2"/>
        <v>7.8387194007326189E-2</v>
      </c>
      <c r="P11" s="80"/>
      <c r="Q11" s="90" t="s">
        <v>14</v>
      </c>
      <c r="R11" s="81">
        <f t="shared" si="0"/>
        <v>2.2149940968122728</v>
      </c>
      <c r="S11" s="81">
        <f t="shared" si="15"/>
        <v>2.8803561259978183</v>
      </c>
      <c r="T11" s="81">
        <f t="shared" si="16"/>
        <v>3.4937767907865513</v>
      </c>
      <c r="U11" s="81">
        <f t="shared" si="17"/>
        <v>4.7162289261317492</v>
      </c>
      <c r="V11" s="81">
        <f t="shared" si="18"/>
        <v>5.4654964508148884</v>
      </c>
      <c r="W11" s="81">
        <f t="shared" si="19"/>
        <v>6.0949855115171259</v>
      </c>
      <c r="X11" s="81">
        <f t="shared" si="20"/>
        <v>7.4633830200907303</v>
      </c>
      <c r="Y11" s="81">
        <f t="shared" si="21"/>
        <v>8.8118327371475402</v>
      </c>
      <c r="Z11" s="81">
        <f t="shared" si="22"/>
        <v>9.9377905798294854</v>
      </c>
      <c r="AA11" s="81">
        <f t="shared" si="23"/>
        <v>11.003665451811306</v>
      </c>
      <c r="AB11" s="81">
        <f t="shared" si="24"/>
        <v>12.023009916355875</v>
      </c>
      <c r="AC11" s="97">
        <v>0.02</v>
      </c>
      <c r="AD11" s="90" t="s">
        <v>14</v>
      </c>
      <c r="AE11" s="82">
        <v>0.14000000000000001</v>
      </c>
      <c r="AF11" s="82">
        <v>0.14004545454545456</v>
      </c>
      <c r="AG11" s="82">
        <v>0.1400909090909091</v>
      </c>
      <c r="AH11" s="82">
        <v>0.14013636363636364</v>
      </c>
      <c r="AI11" s="82">
        <v>0.14018181818181819</v>
      </c>
      <c r="AJ11" s="82">
        <v>0.14022727272727276</v>
      </c>
      <c r="AK11" s="82">
        <v>0.1402727272727273</v>
      </c>
      <c r="AL11" s="82">
        <v>0.14031818181818184</v>
      </c>
      <c r="AM11" s="82">
        <v>0.14036363636363638</v>
      </c>
      <c r="AN11" s="82">
        <v>0.14040909090909093</v>
      </c>
      <c r="AO11" s="82">
        <v>0.14045454545454547</v>
      </c>
      <c r="AP11" s="82">
        <v>0.14050000000000001</v>
      </c>
      <c r="AQ11" s="170"/>
      <c r="AR11" s="83"/>
      <c r="AS11" s="173"/>
      <c r="AT11" s="171"/>
    </row>
    <row r="12" spans="1:48" s="78" customFormat="1" x14ac:dyDescent="0.2">
      <c r="B12" s="91" t="s">
        <v>13</v>
      </c>
      <c r="C12" s="79">
        <f t="shared" ref="C12:N12" si="26">C7*AE12</f>
        <v>2750</v>
      </c>
      <c r="D12" s="79">
        <f t="shared" si="26"/>
        <v>2812.5545454545459</v>
      </c>
      <c r="E12" s="79">
        <f t="shared" si="26"/>
        <v>2895.2545454545457</v>
      </c>
      <c r="F12" s="79">
        <f t="shared" si="26"/>
        <v>2998.1545454545458</v>
      </c>
      <c r="G12" s="79">
        <f t="shared" si="26"/>
        <v>3141.3818181818187</v>
      </c>
      <c r="H12" s="79">
        <f t="shared" si="26"/>
        <v>3315.0000000000005</v>
      </c>
      <c r="I12" s="79">
        <f t="shared" si="26"/>
        <v>3519.0909090909099</v>
      </c>
      <c r="J12" s="79">
        <f t="shared" si="26"/>
        <v>3783.9272727272732</v>
      </c>
      <c r="K12" s="79">
        <f t="shared" si="26"/>
        <v>4119.7454545454548</v>
      </c>
      <c r="L12" s="79">
        <f t="shared" si="26"/>
        <v>4531.7772727272732</v>
      </c>
      <c r="M12" s="79">
        <f t="shared" si="26"/>
        <v>5033.3454545454551</v>
      </c>
      <c r="N12" s="79">
        <f t="shared" si="26"/>
        <v>5641.759</v>
      </c>
      <c r="O12" s="172">
        <f t="shared" si="2"/>
        <v>7.8922232913976043E-2</v>
      </c>
      <c r="P12" s="80"/>
      <c r="Q12" s="91" t="s">
        <v>13</v>
      </c>
      <c r="R12" s="81">
        <f t="shared" si="0"/>
        <v>2.2747107438016778</v>
      </c>
      <c r="S12" s="81">
        <f t="shared" si="15"/>
        <v>2.9403874187490464</v>
      </c>
      <c r="T12" s="81">
        <f t="shared" si="16"/>
        <v>3.5540916484027241</v>
      </c>
      <c r="U12" s="81">
        <f t="shared" si="17"/>
        <v>4.7771811144431409</v>
      </c>
      <c r="V12" s="81">
        <f t="shared" si="18"/>
        <v>5.5268092790665246</v>
      </c>
      <c r="W12" s="81">
        <f t="shared" si="19"/>
        <v>6.1565885095296924</v>
      </c>
      <c r="X12" s="81">
        <f t="shared" si="20"/>
        <v>7.5257039524670555</v>
      </c>
      <c r="Y12" s="81">
        <f t="shared" si="21"/>
        <v>8.8748582521286146</v>
      </c>
      <c r="Z12" s="81">
        <f t="shared" si="22"/>
        <v>10.001390200630222</v>
      </c>
      <c r="AA12" s="81">
        <f t="shared" si="23"/>
        <v>11.067803019285027</v>
      </c>
      <c r="AB12" s="81">
        <f t="shared" si="24"/>
        <v>12.087657224184877</v>
      </c>
      <c r="AC12" s="97">
        <v>0.04</v>
      </c>
      <c r="AD12" s="91" t="s">
        <v>13</v>
      </c>
      <c r="AE12" s="82">
        <v>0.1</v>
      </c>
      <c r="AF12" s="82">
        <v>0.10009090909090911</v>
      </c>
      <c r="AG12" s="82">
        <v>0.10018181818181819</v>
      </c>
      <c r="AH12" s="82">
        <v>0.10027272727272728</v>
      </c>
      <c r="AI12" s="82">
        <v>0.10036363636363638</v>
      </c>
      <c r="AJ12" s="82">
        <v>0.10045454545454546</v>
      </c>
      <c r="AK12" s="82">
        <v>0.10054545454545456</v>
      </c>
      <c r="AL12" s="82">
        <v>0.10063636363636365</v>
      </c>
      <c r="AM12" s="82">
        <v>0.10072727272727273</v>
      </c>
      <c r="AN12" s="82">
        <v>0.10081818181818183</v>
      </c>
      <c r="AO12" s="82">
        <v>0.10090909090909092</v>
      </c>
      <c r="AP12" s="82">
        <v>0.10100000000000001</v>
      </c>
      <c r="AQ12" s="170"/>
      <c r="AR12" s="83"/>
      <c r="AS12" s="173"/>
      <c r="AT12" s="171"/>
    </row>
    <row r="13" spans="1:48" x14ac:dyDescent="0.2">
      <c r="B13" s="5" t="s">
        <v>15</v>
      </c>
      <c r="C13" s="21">
        <f t="shared" ref="C13:N13" si="27">C7*AE13</f>
        <v>12375</v>
      </c>
      <c r="D13" s="21">
        <f t="shared" si="27"/>
        <v>12650.109090909091</v>
      </c>
      <c r="E13" s="21" t="s">
        <v>71</v>
      </c>
      <c r="F13" s="21">
        <f t="shared" si="27"/>
        <v>13471.309090909092</v>
      </c>
      <c r="G13" s="21">
        <f t="shared" si="27"/>
        <v>14107.763636363637</v>
      </c>
      <c r="H13" s="21">
        <f t="shared" si="27"/>
        <v>14880</v>
      </c>
      <c r="I13" s="21">
        <f t="shared" si="27"/>
        <v>15788.181818181818</v>
      </c>
      <c r="J13" s="21">
        <f t="shared" si="27"/>
        <v>16967.854545454546</v>
      </c>
      <c r="K13" s="21">
        <f t="shared" si="27"/>
        <v>18464.49090909091</v>
      </c>
      <c r="L13" s="21">
        <f t="shared" si="27"/>
        <v>20301.054545454546</v>
      </c>
      <c r="M13" s="21">
        <f t="shared" si="27"/>
        <v>22536.69090909091</v>
      </c>
      <c r="N13" s="21">
        <f t="shared" si="27"/>
        <v>25248.268</v>
      </c>
      <c r="O13" s="108">
        <f t="shared" si="2"/>
        <v>7.8460130436936781E-2</v>
      </c>
      <c r="P13" s="24"/>
      <c r="Q13" s="5" t="s">
        <v>15</v>
      </c>
      <c r="R13" s="30">
        <f t="shared" si="0"/>
        <v>2.223103764921941</v>
      </c>
      <c r="S13" s="30" t="e">
        <f t="shared" si="15"/>
        <v>#VALUE!</v>
      </c>
      <c r="T13" s="30" t="e">
        <f t="shared" si="16"/>
        <v>#VALUE!</v>
      </c>
      <c r="U13" s="30">
        <f t="shared" si="17"/>
        <v>4.7245189102226748</v>
      </c>
      <c r="V13" s="30">
        <f t="shared" si="18"/>
        <v>5.4738396782171517</v>
      </c>
      <c r="W13" s="30">
        <f t="shared" si="19"/>
        <v>6.1033724340175954</v>
      </c>
      <c r="X13" s="30">
        <f t="shared" si="20"/>
        <v>7.4718719410376</v>
      </c>
      <c r="Y13" s="30">
        <f t="shared" si="21"/>
        <v>8.8204219315239918</v>
      </c>
      <c r="Z13" s="30">
        <f t="shared" si="22"/>
        <v>9.9464623498469287</v>
      </c>
      <c r="AA13" s="30">
        <f t="shared" si="23"/>
        <v>11.012414939483662</v>
      </c>
      <c r="AB13" s="30">
        <f t="shared" si="24"/>
        <v>12.031833341669905</v>
      </c>
      <c r="AC13" s="24">
        <v>0.02</v>
      </c>
      <c r="AD13" s="5" t="s">
        <v>15</v>
      </c>
      <c r="AE13" s="4">
        <v>0.45</v>
      </c>
      <c r="AF13" s="4">
        <v>0.45018181818181818</v>
      </c>
      <c r="AG13" s="4">
        <v>0.45036363636363641</v>
      </c>
      <c r="AH13" s="4">
        <v>0.45054545454545458</v>
      </c>
      <c r="AI13" s="4">
        <v>0.45072727272727275</v>
      </c>
      <c r="AJ13" s="4">
        <v>0.45090909090909093</v>
      </c>
      <c r="AK13" s="4">
        <v>0.4510909090909091</v>
      </c>
      <c r="AL13" s="4">
        <v>0.45127272727272727</v>
      </c>
      <c r="AM13" s="4">
        <v>0.4514545454545455</v>
      </c>
      <c r="AN13" s="4">
        <v>0.45163636363636367</v>
      </c>
      <c r="AO13" s="4">
        <v>0.45181818181818184</v>
      </c>
      <c r="AP13" s="4">
        <v>0.45200000000000001</v>
      </c>
      <c r="AS13" s="106"/>
      <c r="AT13" s="96"/>
    </row>
    <row r="14" spans="1:48" s="90" customFormat="1" x14ac:dyDescent="0.2">
      <c r="B14" s="91" t="s">
        <v>16</v>
      </c>
      <c r="C14" s="79">
        <f>C7*AE14</f>
        <v>3025</v>
      </c>
      <c r="D14" s="79">
        <f t="shared" ref="D14:N14" si="28">D7*AF14</f>
        <v>3093.0436363636368</v>
      </c>
      <c r="E14" s="79">
        <f t="shared" si="28"/>
        <v>3183.2036363636362</v>
      </c>
      <c r="F14" s="79">
        <f t="shared" si="28"/>
        <v>3295.5236363636368</v>
      </c>
      <c r="G14" s="79">
        <f t="shared" si="28"/>
        <v>3452.1054545454544</v>
      </c>
      <c r="H14" s="79">
        <f t="shared" si="28"/>
        <v>3642.0000000000005</v>
      </c>
      <c r="I14" s="79">
        <f t="shared" si="28"/>
        <v>3865.2727272727275</v>
      </c>
      <c r="J14" s="79">
        <f t="shared" si="28"/>
        <v>4155.141818181819</v>
      </c>
      <c r="K14" s="79">
        <f t="shared" si="28"/>
        <v>4522.7963636363638</v>
      </c>
      <c r="L14" s="79">
        <f t="shared" si="28"/>
        <v>4973.9218181818187</v>
      </c>
      <c r="M14" s="79">
        <f t="shared" si="28"/>
        <v>5523.0763636363636</v>
      </c>
      <c r="N14" s="79">
        <f t="shared" si="28"/>
        <v>6189.1772000000001</v>
      </c>
      <c r="O14" s="172">
        <f t="shared" si="2"/>
        <v>7.8695821692935874E-2</v>
      </c>
      <c r="P14" s="80"/>
      <c r="Q14" s="91" t="s">
        <v>16</v>
      </c>
      <c r="R14" s="81">
        <f t="shared" si="0"/>
        <v>2.2493764087152757</v>
      </c>
      <c r="S14" s="81">
        <f t="shared" si="15"/>
        <v>2.9149281613755962</v>
      </c>
      <c r="T14" s="81">
        <f t="shared" si="16"/>
        <v>3.5285207241189998</v>
      </c>
      <c r="U14" s="81">
        <f t="shared" si="17"/>
        <v>4.7513486613797618</v>
      </c>
      <c r="V14" s="81">
        <f t="shared" si="18"/>
        <v>5.5008326934076646</v>
      </c>
      <c r="W14" s="81">
        <f t="shared" si="19"/>
        <v>6.1304977285207896</v>
      </c>
      <c r="X14" s="81">
        <f t="shared" si="20"/>
        <v>7.4993179359330364</v>
      </c>
      <c r="Y14" s="81">
        <f t="shared" si="21"/>
        <v>8.8481828429004317</v>
      </c>
      <c r="Z14" s="81">
        <f t="shared" si="22"/>
        <v>9.9744807918512368</v>
      </c>
      <c r="AA14" s="81">
        <f t="shared" si="23"/>
        <v>11.040675055388881</v>
      </c>
      <c r="AB14" s="81">
        <f t="shared" si="24"/>
        <v>12.060322771367215</v>
      </c>
      <c r="AC14" s="97">
        <v>0.02</v>
      </c>
      <c r="AD14" s="91" t="s">
        <v>16</v>
      </c>
      <c r="AE14" s="85">
        <v>0.11</v>
      </c>
      <c r="AF14" s="85">
        <v>0.11007272727272728</v>
      </c>
      <c r="AG14" s="85">
        <v>0.11014545454545455</v>
      </c>
      <c r="AH14" s="85">
        <v>0.11021818181818183</v>
      </c>
      <c r="AI14" s="85">
        <v>0.11029090909090909</v>
      </c>
      <c r="AJ14" s="85">
        <v>0.11036363636363637</v>
      </c>
      <c r="AK14" s="85">
        <v>0.11043636363636364</v>
      </c>
      <c r="AL14" s="85">
        <v>0.11050909090909092</v>
      </c>
      <c r="AM14" s="85">
        <v>0.11058181818181818</v>
      </c>
      <c r="AN14" s="85">
        <v>0.11065454545454546</v>
      </c>
      <c r="AO14" s="85">
        <v>0.11072727272727273</v>
      </c>
      <c r="AP14" s="85">
        <v>0.1108</v>
      </c>
      <c r="AQ14" s="170"/>
      <c r="AR14" s="170"/>
      <c r="AT14" s="174"/>
    </row>
    <row r="15" spans="1:48" s="90" customFormat="1" x14ac:dyDescent="0.2">
      <c r="B15" s="91" t="s">
        <v>17</v>
      </c>
      <c r="C15" s="79">
        <f t="shared" ref="C15:N15" si="29">C7*AE15</f>
        <v>2475</v>
      </c>
      <c r="D15" s="79">
        <f t="shared" si="29"/>
        <v>2532.8318181818177</v>
      </c>
      <c r="E15" s="79">
        <f t="shared" si="29"/>
        <v>2608.8818181818178</v>
      </c>
      <c r="F15" s="79">
        <f t="shared" si="29"/>
        <v>2703.2318181818177</v>
      </c>
      <c r="G15" s="79">
        <f t="shared" si="29"/>
        <v>2834.0727272727272</v>
      </c>
      <c r="H15" s="79">
        <f t="shared" si="29"/>
        <v>2992.4999999999995</v>
      </c>
      <c r="I15" s="79">
        <f t="shared" si="29"/>
        <v>3178.6363636363635</v>
      </c>
      <c r="J15" s="79">
        <f t="shared" si="29"/>
        <v>3419.8909090909087</v>
      </c>
      <c r="K15" s="79">
        <f t="shared" si="29"/>
        <v>3725.6181818181817</v>
      </c>
      <c r="L15" s="79">
        <f t="shared" si="29"/>
        <v>4100.6659090909088</v>
      </c>
      <c r="M15" s="79">
        <f t="shared" si="29"/>
        <v>4557.2181818181816</v>
      </c>
      <c r="N15" s="79">
        <f t="shared" si="29"/>
        <v>5111.0985000000001</v>
      </c>
      <c r="O15" s="172">
        <f t="shared" si="2"/>
        <v>7.9472148719456959E-2</v>
      </c>
      <c r="P15" s="80"/>
      <c r="Q15" s="91" t="s">
        <v>17</v>
      </c>
      <c r="R15" s="81">
        <f t="shared" si="0"/>
        <v>2.3366391184572732</v>
      </c>
      <c r="S15" s="81">
        <f t="shared" si="15"/>
        <v>3.0025680921282882</v>
      </c>
      <c r="T15" s="81">
        <f t="shared" si="16"/>
        <v>3.6164919139861418</v>
      </c>
      <c r="U15" s="81">
        <f t="shared" si="17"/>
        <v>4.8401660638528687</v>
      </c>
      <c r="V15" s="81">
        <f t="shared" si="18"/>
        <v>5.5900919973824958</v>
      </c>
      <c r="W15" s="81">
        <f t="shared" si="19"/>
        <v>6.2200956937799257</v>
      </c>
      <c r="X15" s="81">
        <f t="shared" si="20"/>
        <v>7.5898755898755832</v>
      </c>
      <c r="Y15" s="81">
        <f t="shared" si="21"/>
        <v>8.9396790966218997</v>
      </c>
      <c r="Z15" s="81">
        <f t="shared" si="22"/>
        <v>10.066724741226585</v>
      </c>
      <c r="AA15" s="81">
        <f t="shared" si="23"/>
        <v>11.133612999662468</v>
      </c>
      <c r="AB15" s="81">
        <f t="shared" si="24"/>
        <v>12.153912673999701</v>
      </c>
      <c r="AC15" s="97">
        <v>0.03</v>
      </c>
      <c r="AD15" s="91" t="s">
        <v>17</v>
      </c>
      <c r="AE15" s="82">
        <v>0.09</v>
      </c>
      <c r="AF15" s="82">
        <v>9.0136363636363626E-2</v>
      </c>
      <c r="AG15" s="82">
        <v>9.0272727272727268E-2</v>
      </c>
      <c r="AH15" s="82">
        <v>9.0409090909090897E-2</v>
      </c>
      <c r="AI15" s="82">
        <v>9.054545454545454E-2</v>
      </c>
      <c r="AJ15" s="82">
        <v>9.0681818181818169E-2</v>
      </c>
      <c r="AK15" s="82">
        <v>9.0818181818181812E-2</v>
      </c>
      <c r="AL15" s="82">
        <v>9.0954545454545441E-2</v>
      </c>
      <c r="AM15" s="82">
        <v>9.1090909090909084E-2</v>
      </c>
      <c r="AN15" s="82">
        <v>9.1227272727272712E-2</v>
      </c>
      <c r="AO15" s="82">
        <v>9.1363636363636355E-2</v>
      </c>
      <c r="AP15" s="82">
        <v>9.1499999999999998E-2</v>
      </c>
      <c r="AQ15" s="170"/>
      <c r="AR15" s="170"/>
      <c r="AT15" s="174"/>
    </row>
    <row r="16" spans="1:48" s="160" customFormat="1" x14ac:dyDescent="0.2">
      <c r="B16" s="129" t="s">
        <v>18</v>
      </c>
      <c r="C16" s="104">
        <f t="shared" ref="C16:N16" si="30">C7*AE16</f>
        <v>3574.9999999999995</v>
      </c>
      <c r="D16" s="104">
        <f t="shared" si="30"/>
        <v>3648.4018181818174</v>
      </c>
      <c r="E16" s="104">
        <f t="shared" si="30"/>
        <v>3747.5418181818172</v>
      </c>
      <c r="F16" s="104">
        <f t="shared" si="30"/>
        <v>3872.3218181818174</v>
      </c>
      <c r="G16" s="104">
        <f t="shared" si="30"/>
        <v>4048.5127272727264</v>
      </c>
      <c r="H16" s="104">
        <f t="shared" si="30"/>
        <v>4263</v>
      </c>
      <c r="I16" s="104">
        <f t="shared" si="30"/>
        <v>4515.6363636363631</v>
      </c>
      <c r="J16" s="104">
        <f t="shared" si="30"/>
        <v>4844.9309090909082</v>
      </c>
      <c r="K16" s="104">
        <f t="shared" si="30"/>
        <v>5263.4581818181814</v>
      </c>
      <c r="L16" s="104">
        <f t="shared" si="30"/>
        <v>5777.3009090909081</v>
      </c>
      <c r="M16" s="104">
        <f t="shared" si="30"/>
        <v>6402.7781818181811</v>
      </c>
      <c r="N16" s="104">
        <f t="shared" si="30"/>
        <v>7161.1237999999985</v>
      </c>
      <c r="O16" s="167">
        <f t="shared" si="2"/>
        <v>7.6913535596804916E-2</v>
      </c>
      <c r="P16" s="162"/>
      <c r="Q16" s="129" t="s">
        <v>18</v>
      </c>
      <c r="R16" s="163">
        <f t="shared" si="0"/>
        <v>2.0531977113795286</v>
      </c>
      <c r="S16" s="163">
        <f t="shared" si="15"/>
        <v>2.7173541989244487</v>
      </c>
      <c r="T16" s="163">
        <f t="shared" si="16"/>
        <v>3.3296493022335172</v>
      </c>
      <c r="U16" s="163">
        <f t="shared" si="17"/>
        <v>4.5500068786544334</v>
      </c>
      <c r="V16" s="163">
        <f t="shared" si="18"/>
        <v>5.2979275891214206</v>
      </c>
      <c r="W16" s="163">
        <f t="shared" si="19"/>
        <v>5.9262576503955611</v>
      </c>
      <c r="X16" s="163">
        <f t="shared" si="20"/>
        <v>7.2923176034788151</v>
      </c>
      <c r="Y16" s="163">
        <f t="shared" si="21"/>
        <v>8.6384569889729192</v>
      </c>
      <c r="Z16" s="163">
        <f t="shared" si="22"/>
        <v>9.7624548257592139</v>
      </c>
      <c r="AA16" s="163">
        <f t="shared" si="23"/>
        <v>10.826461743459648</v>
      </c>
      <c r="AB16" s="163">
        <f t="shared" si="24"/>
        <v>11.844008907496972</v>
      </c>
      <c r="AC16" s="168">
        <v>0.01</v>
      </c>
      <c r="AD16" s="129" t="s">
        <v>18</v>
      </c>
      <c r="AE16" s="159">
        <v>0.12999999999999998</v>
      </c>
      <c r="AF16" s="159">
        <v>0.12983636363636361</v>
      </c>
      <c r="AG16" s="159">
        <v>0.12967272727272725</v>
      </c>
      <c r="AH16" s="159">
        <v>0.12950909090909088</v>
      </c>
      <c r="AI16" s="159">
        <v>0.12934545454545451</v>
      </c>
      <c r="AJ16" s="159">
        <v>0.12918181818181818</v>
      </c>
      <c r="AK16" s="159">
        <v>0.12901818181818181</v>
      </c>
      <c r="AL16" s="159">
        <v>0.12885454545454544</v>
      </c>
      <c r="AM16" s="159">
        <v>0.12869090909090908</v>
      </c>
      <c r="AN16" s="159">
        <v>0.12852727272727271</v>
      </c>
      <c r="AO16" s="159">
        <v>0.12836363636363635</v>
      </c>
      <c r="AP16" s="159">
        <v>0.12819999999999998</v>
      </c>
      <c r="AQ16" s="169"/>
      <c r="AR16" s="165"/>
      <c r="AS16" s="175"/>
      <c r="AT16" s="176"/>
    </row>
    <row r="17" spans="2:46" s="78" customFormat="1" x14ac:dyDescent="0.2">
      <c r="B17" s="91" t="s">
        <v>19</v>
      </c>
      <c r="C17" s="79">
        <f t="shared" ref="C17:N17" si="31">C7*AE17</f>
        <v>1925.0000000000002</v>
      </c>
      <c r="D17" s="79">
        <f t="shared" si="31"/>
        <v>1968.2772727272729</v>
      </c>
      <c r="E17" s="79">
        <f t="shared" si="31"/>
        <v>2025.6272727272728</v>
      </c>
      <c r="F17" s="79">
        <f t="shared" si="31"/>
        <v>2097.0772727272729</v>
      </c>
      <c r="G17" s="79">
        <f t="shared" si="31"/>
        <v>2196.6909090909089</v>
      </c>
      <c r="H17" s="79">
        <f t="shared" si="31"/>
        <v>2317.5000000000005</v>
      </c>
      <c r="I17" s="79">
        <f t="shared" si="31"/>
        <v>2459.545454545455</v>
      </c>
      <c r="J17" s="79">
        <f t="shared" si="31"/>
        <v>2643.9636363636364</v>
      </c>
      <c r="K17" s="79">
        <f t="shared" si="31"/>
        <v>2877.8727272727274</v>
      </c>
      <c r="L17" s="79">
        <f t="shared" si="31"/>
        <v>3164.8886363636361</v>
      </c>
      <c r="M17" s="79">
        <f t="shared" si="31"/>
        <v>3514.272727272727</v>
      </c>
      <c r="N17" s="79">
        <f t="shared" si="31"/>
        <v>3938.0594999999998</v>
      </c>
      <c r="O17" s="172">
        <f t="shared" si="2"/>
        <v>7.8685019125003919E-2</v>
      </c>
      <c r="P17" s="80"/>
      <c r="Q17" s="91" t="s">
        <v>19</v>
      </c>
      <c r="R17" s="81">
        <f t="shared" si="0"/>
        <v>2.2481700118063719</v>
      </c>
      <c r="S17" s="81">
        <f t="shared" si="15"/>
        <v>2.9137155010957816</v>
      </c>
      <c r="T17" s="81">
        <f t="shared" si="16"/>
        <v>3.5273024293260402</v>
      </c>
      <c r="U17" s="81">
        <f t="shared" si="17"/>
        <v>4.7501175878982949</v>
      </c>
      <c r="V17" s="81">
        <f t="shared" si="18"/>
        <v>5.4995944312933753</v>
      </c>
      <c r="W17" s="81">
        <f t="shared" si="19"/>
        <v>6.1292537020692262</v>
      </c>
      <c r="X17" s="81">
        <f t="shared" si="20"/>
        <v>7.4980595084087831</v>
      </c>
      <c r="Y17" s="81">
        <f t="shared" si="21"/>
        <v>8.8469102862094076</v>
      </c>
      <c r="Z17" s="81">
        <f t="shared" si="22"/>
        <v>9.9731967425434007</v>
      </c>
      <c r="AA17" s="81">
        <f t="shared" si="23"/>
        <v>11.039380245319563</v>
      </c>
      <c r="AB17" s="81">
        <f t="shared" si="24"/>
        <v>12.059017771684299</v>
      </c>
      <c r="AC17" s="97">
        <v>0.04</v>
      </c>
      <c r="AD17" s="91" t="s">
        <v>19</v>
      </c>
      <c r="AE17" s="82">
        <v>7.0000000000000007E-2</v>
      </c>
      <c r="AF17" s="82">
        <v>7.004545454545455E-2</v>
      </c>
      <c r="AG17" s="82">
        <v>7.0090909090909093E-2</v>
      </c>
      <c r="AH17" s="82">
        <v>7.0136363636363636E-2</v>
      </c>
      <c r="AI17" s="82">
        <v>7.0181818181818179E-2</v>
      </c>
      <c r="AJ17" s="82">
        <v>7.0227272727272735E-2</v>
      </c>
      <c r="AK17" s="82">
        <v>7.0272727272727278E-2</v>
      </c>
      <c r="AL17" s="82">
        <v>7.0318181818181821E-2</v>
      </c>
      <c r="AM17" s="82">
        <v>7.0363636363636364E-2</v>
      </c>
      <c r="AN17" s="82">
        <v>7.0409090909090907E-2</v>
      </c>
      <c r="AO17" s="82">
        <v>7.045454545454545E-2</v>
      </c>
      <c r="AP17" s="82">
        <v>7.0499999999999993E-2</v>
      </c>
      <c r="AQ17" s="170"/>
      <c r="AR17" s="83"/>
      <c r="AS17" s="173"/>
      <c r="AT17" s="174"/>
    </row>
    <row r="18" spans="2:46" s="90" customFormat="1" x14ac:dyDescent="0.2">
      <c r="B18" s="91" t="s">
        <v>8</v>
      </c>
      <c r="C18" s="79">
        <f>C7*AE18</f>
        <v>1375</v>
      </c>
      <c r="D18" s="79">
        <f t="shared" ref="D18:N18" si="32">D7*AF18</f>
        <v>1407.5545454545456</v>
      </c>
      <c r="E18" s="79">
        <f t="shared" si="32"/>
        <v>1450.2545454545457</v>
      </c>
      <c r="F18" s="79">
        <f t="shared" si="32"/>
        <v>1503.1545454545458</v>
      </c>
      <c r="G18" s="79">
        <f t="shared" si="32"/>
        <v>1576.3818181818183</v>
      </c>
      <c r="H18" s="79">
        <f t="shared" si="32"/>
        <v>1665.0000000000002</v>
      </c>
      <c r="I18" s="79">
        <f t="shared" si="32"/>
        <v>1769.090909090909</v>
      </c>
      <c r="J18" s="79">
        <f t="shared" si="32"/>
        <v>1903.9272727272728</v>
      </c>
      <c r="K18" s="79">
        <f t="shared" si="32"/>
        <v>2074.7454545454548</v>
      </c>
      <c r="L18" s="79">
        <f t="shared" si="32"/>
        <v>2284.2772727272727</v>
      </c>
      <c r="M18" s="79">
        <f t="shared" si="32"/>
        <v>2539.3454545454547</v>
      </c>
      <c r="N18" s="79">
        <f t="shared" si="32"/>
        <v>2848.8090000000002</v>
      </c>
      <c r="O18" s="172">
        <f t="shared" si="2"/>
        <v>7.9745242748940903E-2</v>
      </c>
      <c r="P18" s="80"/>
      <c r="Q18" s="91" t="s">
        <v>8</v>
      </c>
      <c r="R18" s="81">
        <f t="shared" si="0"/>
        <v>2.3676033057851376</v>
      </c>
      <c r="S18" s="81">
        <f t="shared" si="15"/>
        <v>3.0336302161711792</v>
      </c>
      <c r="T18" s="81">
        <f t="shared" si="16"/>
        <v>3.6476355247981651</v>
      </c>
      <c r="U18" s="81">
        <f t="shared" si="17"/>
        <v>4.8715731159319375</v>
      </c>
      <c r="V18" s="81">
        <f t="shared" si="18"/>
        <v>5.621619127807076</v>
      </c>
      <c r="W18" s="81">
        <f t="shared" si="19"/>
        <v>6.251706251706235</v>
      </c>
      <c r="X18" s="81">
        <f t="shared" si="20"/>
        <v>7.6217882836588036</v>
      </c>
      <c r="Y18" s="81">
        <f t="shared" si="21"/>
        <v>8.9718858627144016</v>
      </c>
      <c r="Z18" s="81">
        <f t="shared" si="22"/>
        <v>10.099157837544137</v>
      </c>
      <c r="AA18" s="81">
        <f t="shared" si="23"/>
        <v>11.166253101736977</v>
      </c>
      <c r="AB18" s="81">
        <f t="shared" si="24"/>
        <v>12.186744615648992</v>
      </c>
      <c r="AC18" s="97">
        <v>0.05</v>
      </c>
      <c r="AD18" s="91" t="s">
        <v>8</v>
      </c>
      <c r="AE18" s="84">
        <v>0.05</v>
      </c>
      <c r="AF18" s="84">
        <v>5.0090909090909096E-2</v>
      </c>
      <c r="AG18" s="84">
        <v>5.0181818181818189E-2</v>
      </c>
      <c r="AH18" s="84">
        <v>5.0272727272727281E-2</v>
      </c>
      <c r="AI18" s="84">
        <v>5.0363636363636367E-2</v>
      </c>
      <c r="AJ18" s="84">
        <v>5.045454545454546E-2</v>
      </c>
      <c r="AK18" s="84">
        <v>5.0545454545454546E-2</v>
      </c>
      <c r="AL18" s="84">
        <v>5.0636363636363639E-2</v>
      </c>
      <c r="AM18" s="84">
        <v>5.0727272727272732E-2</v>
      </c>
      <c r="AN18" s="84">
        <v>5.0818181818181818E-2</v>
      </c>
      <c r="AO18" s="84">
        <v>5.0909090909090911E-2</v>
      </c>
      <c r="AP18" s="84">
        <v>5.1000000000000004E-2</v>
      </c>
      <c r="AQ18" s="170"/>
      <c r="AR18" s="170"/>
      <c r="AT18" s="174"/>
    </row>
    <row r="19" spans="2:46" ht="13.5" customHeight="1" x14ac:dyDescent="0.2">
      <c r="B19" s="5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109"/>
      <c r="P19" s="24"/>
      <c r="Q19" s="5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0"/>
      <c r="AC19" s="25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33"/>
    </row>
    <row r="20" spans="2:46" x14ac:dyDescent="0.2">
      <c r="B20" s="17" t="s">
        <v>20</v>
      </c>
      <c r="C20" s="28">
        <f>C7</f>
        <v>27500</v>
      </c>
      <c r="D20" s="28">
        <f t="shared" ref="D20:N20" si="33">D7</f>
        <v>28100</v>
      </c>
      <c r="E20" s="28">
        <f t="shared" si="33"/>
        <v>28900</v>
      </c>
      <c r="F20" s="28">
        <f t="shared" si="33"/>
        <v>29900</v>
      </c>
      <c r="G20" s="28">
        <f t="shared" si="33"/>
        <v>31300</v>
      </c>
      <c r="H20" s="28">
        <f t="shared" si="33"/>
        <v>33000</v>
      </c>
      <c r="I20" s="28">
        <f t="shared" si="33"/>
        <v>35000</v>
      </c>
      <c r="J20" s="28">
        <f t="shared" si="33"/>
        <v>37600</v>
      </c>
      <c r="K20" s="28">
        <f t="shared" si="33"/>
        <v>40900</v>
      </c>
      <c r="L20" s="28">
        <f t="shared" si="33"/>
        <v>44950</v>
      </c>
      <c r="M20" s="28">
        <f t="shared" si="33"/>
        <v>49880</v>
      </c>
      <c r="N20" s="28">
        <f t="shared" si="33"/>
        <v>55859</v>
      </c>
      <c r="O20" s="108">
        <f>((N20/H20)^(1/7)-1)*100%</f>
        <v>7.8087905180006523E-2</v>
      </c>
      <c r="P20" s="24"/>
      <c r="Q20" s="17" t="s">
        <v>20</v>
      </c>
      <c r="R20" s="28">
        <f t="shared" ref="R20:AB20" si="34">(D20/C20-1)*100</f>
        <v>2.1818181818181737</v>
      </c>
      <c r="S20" s="28">
        <f t="shared" si="34"/>
        <v>2.8469750889679624</v>
      </c>
      <c r="T20" s="28">
        <f t="shared" si="34"/>
        <v>3.460207612456756</v>
      </c>
      <c r="U20" s="28">
        <f t="shared" si="34"/>
        <v>4.6822742474916357</v>
      </c>
      <c r="V20" s="28">
        <f t="shared" si="34"/>
        <v>5.4313099041533475</v>
      </c>
      <c r="W20" s="28">
        <f t="shared" si="34"/>
        <v>6.0606060606060552</v>
      </c>
      <c r="X20" s="28">
        <f t="shared" si="34"/>
        <v>7.4285714285714288</v>
      </c>
      <c r="Y20" s="28">
        <f t="shared" si="34"/>
        <v>8.7765957446808596</v>
      </c>
      <c r="Z20" s="28">
        <f t="shared" si="34"/>
        <v>9.902200488997547</v>
      </c>
      <c r="AA20" s="28">
        <f t="shared" si="34"/>
        <v>10.967741935483865</v>
      </c>
      <c r="AB20" s="28">
        <f t="shared" si="34"/>
        <v>11.986768243785084</v>
      </c>
      <c r="AC20" s="25"/>
      <c r="AD20" s="17" t="s">
        <v>20</v>
      </c>
      <c r="AE20" s="20">
        <v>1</v>
      </c>
      <c r="AF20" s="20">
        <v>1</v>
      </c>
      <c r="AG20" s="20">
        <v>1</v>
      </c>
      <c r="AH20" s="20">
        <v>1</v>
      </c>
      <c r="AI20" s="20">
        <v>1</v>
      </c>
      <c r="AJ20" s="20">
        <v>1</v>
      </c>
      <c r="AK20" s="20">
        <v>1</v>
      </c>
      <c r="AL20" s="20">
        <v>1</v>
      </c>
      <c r="AM20" s="20">
        <v>1</v>
      </c>
      <c r="AN20" s="20">
        <v>1</v>
      </c>
      <c r="AO20" s="20">
        <v>1</v>
      </c>
      <c r="AP20" s="20">
        <v>1</v>
      </c>
      <c r="AQ20" s="33"/>
      <c r="AR20" s="94"/>
    </row>
    <row r="21" spans="2:46" x14ac:dyDescent="0.2">
      <c r="B21" s="2" t="s">
        <v>21</v>
      </c>
      <c r="C21" s="21">
        <f>C20*AE21</f>
        <v>4578.75</v>
      </c>
      <c r="D21" s="21">
        <f t="shared" ref="D21" si="35">D20*AF21</f>
        <v>4679.9272727272728</v>
      </c>
      <c r="E21" s="21">
        <f t="shared" ref="E21" si="36">E20*AG21</f>
        <v>4814.477272727273</v>
      </c>
      <c r="F21" s="21">
        <f t="shared" ref="F21" si="37">F20*AH21</f>
        <v>4982.4272727272728</v>
      </c>
      <c r="G21" s="21">
        <f t="shared" ref="G21" si="38">G20*AI21</f>
        <v>5217.1409090909092</v>
      </c>
      <c r="H21" s="21">
        <f t="shared" ref="H21" si="39">H20*AJ21</f>
        <v>5502.0000000000009</v>
      </c>
      <c r="I21" s="21">
        <f t="shared" ref="I21" si="40">I20*AK21</f>
        <v>5837.045454545455</v>
      </c>
      <c r="J21" s="21">
        <f t="shared" ref="J21" si="41">J20*AL21</f>
        <v>6272.3636363636369</v>
      </c>
      <c r="K21" s="21">
        <f t="shared" ref="K21" si="42">K20*AM21</f>
        <v>6824.7227272727278</v>
      </c>
      <c r="L21" s="21">
        <f t="shared" ref="L21" si="43">L20*AN21</f>
        <v>7502.5636363636368</v>
      </c>
      <c r="M21" s="21">
        <f t="shared" ref="M21" si="44">M20*AO21</f>
        <v>8327.692727272728</v>
      </c>
      <c r="N21" s="21">
        <f t="shared" ref="N21" si="45">N20*AP21</f>
        <v>9328.4530000000013</v>
      </c>
      <c r="O21" s="108">
        <f t="shared" ref="O21:O34" si="46">((N21/H21)^(1/7)-1)*100%</f>
        <v>7.8339657684164843E-2</v>
      </c>
      <c r="P21" s="24"/>
      <c r="Q21" s="2" t="s">
        <v>21</v>
      </c>
      <c r="R21" s="30">
        <f t="shared" ref="R21:AA27" si="47">(D21/C21-1)*100</f>
        <v>2.2097138460774879</v>
      </c>
      <c r="S21" s="30">
        <f t="shared" si="47"/>
        <v>2.8750446782389805</v>
      </c>
      <c r="T21" s="30">
        <f t="shared" si="47"/>
        <v>3.4884368641927566</v>
      </c>
      <c r="U21" s="30">
        <f t="shared" si="47"/>
        <v>4.7108291504505795</v>
      </c>
      <c r="V21" s="30">
        <f t="shared" si="47"/>
        <v>5.4600612840017826</v>
      </c>
      <c r="W21" s="30">
        <f t="shared" si="47"/>
        <v>6.089521165857037</v>
      </c>
      <c r="X21" s="30">
        <f t="shared" si="47"/>
        <v>7.4578514970992549</v>
      </c>
      <c r="Y21" s="30">
        <f t="shared" si="47"/>
        <v>8.80623514406631</v>
      </c>
      <c r="Z21" s="30">
        <f t="shared" si="47"/>
        <v>9.9321384351944921</v>
      </c>
      <c r="AA21" s="30">
        <f t="shared" si="47"/>
        <v>10.997961908777842</v>
      </c>
      <c r="AB21" s="30">
        <f t="shared" ref="AB21:AB34" si="48">(N21/M21-1)*100</f>
        <v>12.01725742653592</v>
      </c>
      <c r="AC21" s="25">
        <v>0.03</v>
      </c>
      <c r="AD21" s="2" t="s">
        <v>21</v>
      </c>
      <c r="AE21" s="145">
        <v>0.16650000000000001</v>
      </c>
      <c r="AF21" s="145">
        <v>0.16654545454545455</v>
      </c>
      <c r="AG21" s="145">
        <v>0.1665909090909091</v>
      </c>
      <c r="AH21" s="145">
        <v>0.16663636363636364</v>
      </c>
      <c r="AI21" s="145">
        <v>0.16668181818181818</v>
      </c>
      <c r="AJ21" s="145">
        <v>0.16672727272727275</v>
      </c>
      <c r="AK21" s="145">
        <v>0.16677272727272729</v>
      </c>
      <c r="AL21" s="145">
        <v>0.16681818181818184</v>
      </c>
      <c r="AM21" s="145">
        <v>0.16686363636363638</v>
      </c>
      <c r="AN21" s="145">
        <v>0.16690909090909092</v>
      </c>
      <c r="AO21" s="145">
        <v>0.16695454545454547</v>
      </c>
      <c r="AP21" s="145">
        <v>0.16700000000000001</v>
      </c>
      <c r="AQ21" s="33"/>
      <c r="AR21" s="95"/>
      <c r="AS21" s="93"/>
    </row>
    <row r="22" spans="2:46" ht="15" customHeight="1" x14ac:dyDescent="0.2">
      <c r="B22" s="5" t="s">
        <v>22</v>
      </c>
      <c r="C22" s="21">
        <f>C20*AE22</f>
        <v>3448.5000000000005</v>
      </c>
      <c r="D22" s="21">
        <f t="shared" ref="D22" si="49">D20*AF22</f>
        <v>3526.5500000000006</v>
      </c>
      <c r="E22" s="21">
        <f t="shared" ref="E22" si="50">E20*AG22</f>
        <v>3629.8400000000006</v>
      </c>
      <c r="F22" s="21">
        <f t="shared" ref="F22" si="51">F20*AH22</f>
        <v>3758.4300000000003</v>
      </c>
      <c r="G22" s="21">
        <f t="shared" ref="G22" si="52">G20*AI22</f>
        <v>3937.5400000000009</v>
      </c>
      <c r="H22" s="21">
        <f t="shared" ref="H22" si="53">H20*AJ22</f>
        <v>4154.7000000000007</v>
      </c>
      <c r="I22" s="21">
        <f t="shared" ref="I22" si="54">I20*AK22</f>
        <v>4410.0000000000009</v>
      </c>
      <c r="J22" s="21">
        <f t="shared" ref="J22" si="55">J20*AL22</f>
        <v>4741.3600000000006</v>
      </c>
      <c r="K22" s="21">
        <f t="shared" ref="K22" si="56">K20*AM22</f>
        <v>5161.58</v>
      </c>
      <c r="L22" s="21">
        <f t="shared" ref="L22" si="57">L20*AN22</f>
        <v>5677.1850000000013</v>
      </c>
      <c r="M22" s="21">
        <f t="shared" ref="M22" si="58">M20*AO22</f>
        <v>6304.8320000000003</v>
      </c>
      <c r="N22" s="21">
        <f t="shared" ref="N22" si="59">N20*AP22</f>
        <v>7066.1634999999997</v>
      </c>
      <c r="O22" s="108">
        <f t="shared" si="46"/>
        <v>7.882038614150777E-2</v>
      </c>
      <c r="P22" s="24"/>
      <c r="Q22" s="5" t="s">
        <v>22</v>
      </c>
      <c r="R22" s="30">
        <f t="shared" si="47"/>
        <v>2.2633028853124681</v>
      </c>
      <c r="S22" s="30">
        <f t="shared" si="47"/>
        <v>2.9289248699153614</v>
      </c>
      <c r="T22" s="30">
        <f t="shared" si="47"/>
        <v>3.5425803892182417</v>
      </c>
      <c r="U22" s="30">
        <f t="shared" si="47"/>
        <v>4.7655537019447136</v>
      </c>
      <c r="V22" s="30">
        <f t="shared" si="47"/>
        <v>5.5151185765731858</v>
      </c>
      <c r="W22" s="30">
        <f t="shared" si="47"/>
        <v>6.1448480034659525</v>
      </c>
      <c r="X22" s="30">
        <f t="shared" si="47"/>
        <v>7.5138321995464663</v>
      </c>
      <c r="Y22" s="30">
        <f t="shared" si="47"/>
        <v>8.8628579141849517</v>
      </c>
      <c r="Z22" s="30">
        <f t="shared" si="47"/>
        <v>9.9892862263105684</v>
      </c>
      <c r="AA22" s="30">
        <f t="shared" si="47"/>
        <v>11.055602380405061</v>
      </c>
      <c r="AB22" s="30">
        <f t="shared" si="48"/>
        <v>12.07536537056022</v>
      </c>
      <c r="AC22" s="25">
        <v>0.04</v>
      </c>
      <c r="AD22" s="5" t="s">
        <v>22</v>
      </c>
      <c r="AE22" s="145">
        <v>0.12540000000000001</v>
      </c>
      <c r="AF22" s="145">
        <v>0.12550000000000003</v>
      </c>
      <c r="AG22" s="145">
        <v>0.12560000000000002</v>
      </c>
      <c r="AH22" s="145">
        <v>0.12570000000000001</v>
      </c>
      <c r="AI22" s="145">
        <v>0.12580000000000002</v>
      </c>
      <c r="AJ22" s="145">
        <v>0.12590000000000001</v>
      </c>
      <c r="AK22" s="145">
        <v>0.12600000000000003</v>
      </c>
      <c r="AL22" s="145">
        <v>0.12610000000000002</v>
      </c>
      <c r="AM22" s="145">
        <v>0.12620000000000001</v>
      </c>
      <c r="AN22" s="145">
        <v>0.12630000000000002</v>
      </c>
      <c r="AO22" s="145">
        <v>0.12640000000000001</v>
      </c>
      <c r="AP22" s="145">
        <v>0.1265</v>
      </c>
      <c r="AQ22" s="33"/>
      <c r="AS22" s="93"/>
    </row>
    <row r="23" spans="2:46" s="115" customFormat="1" ht="15" customHeight="1" x14ac:dyDescent="0.2">
      <c r="B23" s="99" t="s">
        <v>23</v>
      </c>
      <c r="C23" s="130">
        <f>C20*AE23</f>
        <v>6696.2499999999991</v>
      </c>
      <c r="D23" s="130">
        <f t="shared" ref="D23:N23" si="60">D20*AF23</f>
        <v>6837.7518181818168</v>
      </c>
      <c r="E23" s="130">
        <f t="shared" si="60"/>
        <v>7027.6918181818173</v>
      </c>
      <c r="F23" s="130">
        <f t="shared" si="60"/>
        <v>7265.9718181818171</v>
      </c>
      <c r="G23" s="130">
        <f t="shared" si="60"/>
        <v>7601.0627272727261</v>
      </c>
      <c r="H23" s="130">
        <f t="shared" si="60"/>
        <v>8008.4999999999991</v>
      </c>
      <c r="I23" s="130">
        <f t="shared" si="60"/>
        <v>8488.1363636363621</v>
      </c>
      <c r="J23" s="130">
        <f t="shared" si="60"/>
        <v>9112.5309090909086</v>
      </c>
      <c r="K23" s="130">
        <f t="shared" si="60"/>
        <v>9905.608181818181</v>
      </c>
      <c r="L23" s="130">
        <f t="shared" si="60"/>
        <v>10879.125909090908</v>
      </c>
      <c r="M23" s="130">
        <f t="shared" si="60"/>
        <v>12064.15818181818</v>
      </c>
      <c r="N23" s="130">
        <f t="shared" si="60"/>
        <v>13501.120299999999</v>
      </c>
      <c r="O23" s="131">
        <f t="shared" si="46"/>
        <v>7.746373328258338E-2</v>
      </c>
      <c r="P23" s="132"/>
      <c r="Q23" s="99" t="s">
        <v>23</v>
      </c>
      <c r="R23" s="133">
        <f t="shared" si="47"/>
        <v>2.1131501688529841</v>
      </c>
      <c r="S23" s="133">
        <f t="shared" ref="S23:S27" si="61">(E23/D23-1)*100</f>
        <v>2.777813600881851</v>
      </c>
      <c r="T23" s="133">
        <f t="shared" ref="T23:T27" si="62">(F23/E23-1)*100</f>
        <v>3.390586926187189</v>
      </c>
      <c r="U23" s="133">
        <f t="shared" ref="U23:U27" si="63">(G23/F23-1)*100</f>
        <v>4.6117837706499687</v>
      </c>
      <c r="V23" s="133">
        <f t="shared" ref="V23:V27" si="64">(H23/G23-1)*100</f>
        <v>5.3602672066549673</v>
      </c>
      <c r="W23" s="133">
        <f t="shared" ref="W23:W27" si="65">(I23/H23-1)*100</f>
        <v>5.9890911361224042</v>
      </c>
      <c r="X23" s="133">
        <f t="shared" ref="X23:X27" si="66">(J23/I23-1)*100</f>
        <v>7.3560852312586134</v>
      </c>
      <c r="Y23" s="133">
        <f t="shared" ref="Y23:Y27" si="67">(K23/J23-1)*100</f>
        <v>8.7031504270243651</v>
      </c>
      <c r="Z23" s="133">
        <f t="shared" ref="Z23:Z27" si="68">(L23/K23-1)*100</f>
        <v>9.8279450327908755</v>
      </c>
      <c r="AA23" s="133">
        <f t="shared" ref="AA23:AA27" si="69">(M23/L23-1)*100</f>
        <v>10.89271585446976</v>
      </c>
      <c r="AB23" s="133">
        <f t="shared" si="48"/>
        <v>11.911001965702471</v>
      </c>
      <c r="AC23" s="74">
        <v>0.01</v>
      </c>
      <c r="AD23" s="99" t="s">
        <v>23</v>
      </c>
      <c r="AE23" s="76">
        <v>0.24349999999999997</v>
      </c>
      <c r="AF23" s="76">
        <v>0.2433363636363636</v>
      </c>
      <c r="AG23" s="76">
        <v>0.24317272727272723</v>
      </c>
      <c r="AH23" s="76">
        <v>0.24300909090909087</v>
      </c>
      <c r="AI23" s="76">
        <v>0.2428454545454545</v>
      </c>
      <c r="AJ23" s="76">
        <v>0.24268181818181817</v>
      </c>
      <c r="AK23" s="76">
        <v>0.2425181818181818</v>
      </c>
      <c r="AL23" s="76">
        <v>0.24235454545454543</v>
      </c>
      <c r="AM23" s="76">
        <v>0.24219090909090907</v>
      </c>
      <c r="AN23" s="76">
        <v>0.2420272727272727</v>
      </c>
      <c r="AO23" s="76">
        <v>0.24186363636363634</v>
      </c>
      <c r="AP23" s="76">
        <v>0.24169999999999997</v>
      </c>
      <c r="AQ23" s="75"/>
      <c r="AR23" s="136"/>
      <c r="AS23" s="137"/>
    </row>
    <row r="24" spans="2:46" ht="15" customHeight="1" x14ac:dyDescent="0.2">
      <c r="B24" s="5" t="s">
        <v>24</v>
      </c>
      <c r="C24" s="21">
        <f>C20*AE24</f>
        <v>3165.25</v>
      </c>
      <c r="D24" s="21">
        <f t="shared" ref="D24:N24" si="70">D20*AF24</f>
        <v>3235.8427272727272</v>
      </c>
      <c r="E24" s="21">
        <f t="shared" si="70"/>
        <v>3329.5427272727275</v>
      </c>
      <c r="F24" s="21">
        <f t="shared" si="70"/>
        <v>3446.3827272727276</v>
      </c>
      <c r="G24" s="21">
        <f t="shared" si="70"/>
        <v>3609.4590909090912</v>
      </c>
      <c r="H24" s="21">
        <f t="shared" si="70"/>
        <v>3807.3</v>
      </c>
      <c r="I24" s="21">
        <f t="shared" si="70"/>
        <v>4039.9545454545455</v>
      </c>
      <c r="J24" s="21">
        <f t="shared" si="70"/>
        <v>4342.1163636363635</v>
      </c>
      <c r="K24" s="21">
        <f t="shared" si="70"/>
        <v>4725.437272727273</v>
      </c>
      <c r="L24" s="21">
        <f t="shared" si="70"/>
        <v>5195.8113636363632</v>
      </c>
      <c r="M24" s="21">
        <f t="shared" si="70"/>
        <v>5768.3952727272726</v>
      </c>
      <c r="N24" s="21">
        <f t="shared" si="70"/>
        <v>6462.886300000001</v>
      </c>
      <c r="O24" s="108">
        <f t="shared" si="46"/>
        <v>7.8524255621439387E-2</v>
      </c>
      <c r="P24" s="24"/>
      <c r="Q24" s="5" t="s">
        <v>24</v>
      </c>
      <c r="R24" s="30">
        <f t="shared" si="47"/>
        <v>2.2302417588729861</v>
      </c>
      <c r="S24" s="30">
        <f t="shared" si="61"/>
        <v>2.8956907951757538</v>
      </c>
      <c r="T24" s="30">
        <f t="shared" si="62"/>
        <v>3.5091905877329133</v>
      </c>
      <c r="U24" s="30">
        <f t="shared" si="63"/>
        <v>4.7318123534530576</v>
      </c>
      <c r="V24" s="30">
        <f t="shared" si="64"/>
        <v>5.4811788721805366</v>
      </c>
      <c r="W24" s="30">
        <f t="shared" si="65"/>
        <v>6.1107489678918103</v>
      </c>
      <c r="X24" s="30">
        <f t="shared" si="66"/>
        <v>7.4793370762497258</v>
      </c>
      <c r="Y24" s="30">
        <f t="shared" si="67"/>
        <v>8.8279741257300657</v>
      </c>
      <c r="Z24" s="30">
        <f t="shared" si="68"/>
        <v>9.9540860191678071</v>
      </c>
      <c r="AA24" s="30">
        <f t="shared" si="69"/>
        <v>11.020105793259184</v>
      </c>
      <c r="AB24" s="30">
        <f t="shared" si="48"/>
        <v>12.039588038570326</v>
      </c>
      <c r="AC24" s="25">
        <v>0.05</v>
      </c>
      <c r="AD24" s="5" t="s">
        <v>24</v>
      </c>
      <c r="AE24" s="145">
        <v>0.11510000000000001</v>
      </c>
      <c r="AF24" s="145">
        <v>0.11515454545454545</v>
      </c>
      <c r="AG24" s="145">
        <v>0.11520909090909091</v>
      </c>
      <c r="AH24" s="145">
        <v>0.11526363636363637</v>
      </c>
      <c r="AI24" s="145">
        <v>0.11531818181818182</v>
      </c>
      <c r="AJ24" s="145">
        <v>0.11537272727272728</v>
      </c>
      <c r="AK24" s="145">
        <v>0.11542727272727273</v>
      </c>
      <c r="AL24" s="145">
        <v>0.11548181818181819</v>
      </c>
      <c r="AM24" s="145">
        <v>0.11553636363636365</v>
      </c>
      <c r="AN24" s="145">
        <v>0.11559090909090909</v>
      </c>
      <c r="AO24" s="145">
        <v>0.11564545454545455</v>
      </c>
      <c r="AP24" s="145">
        <v>0.11570000000000001</v>
      </c>
      <c r="AQ24" s="33"/>
      <c r="AS24" s="71"/>
    </row>
    <row r="25" spans="2:46" s="115" customFormat="1" ht="15" customHeight="1" x14ac:dyDescent="0.2">
      <c r="B25" s="99" t="s">
        <v>25</v>
      </c>
      <c r="C25" s="130">
        <f>C20*AE25</f>
        <v>4982.9999999999991</v>
      </c>
      <c r="D25" s="130">
        <f t="shared" ref="D25:N25" si="71">D20*AF25</f>
        <v>5086.0999999999995</v>
      </c>
      <c r="E25" s="130">
        <f t="shared" si="71"/>
        <v>5225.12</v>
      </c>
      <c r="F25" s="130">
        <f t="shared" si="71"/>
        <v>5399.94</v>
      </c>
      <c r="G25" s="130">
        <f t="shared" si="71"/>
        <v>5646.5199999999995</v>
      </c>
      <c r="H25" s="130">
        <f t="shared" si="71"/>
        <v>5946.5999999999995</v>
      </c>
      <c r="I25" s="130">
        <f t="shared" si="71"/>
        <v>6299.9999999999991</v>
      </c>
      <c r="J25" s="130">
        <f t="shared" si="71"/>
        <v>6760.4799999999987</v>
      </c>
      <c r="K25" s="130">
        <f t="shared" si="71"/>
        <v>7345.6399999999994</v>
      </c>
      <c r="L25" s="130">
        <f t="shared" si="71"/>
        <v>8064.0299999999988</v>
      </c>
      <c r="M25" s="130">
        <f t="shared" si="71"/>
        <v>8938.4959999999992</v>
      </c>
      <c r="N25" s="130">
        <f t="shared" si="71"/>
        <v>9998.7609999999986</v>
      </c>
      <c r="O25" s="131">
        <f t="shared" si="46"/>
        <v>7.7059355173133559E-2</v>
      </c>
      <c r="P25" s="132"/>
      <c r="Q25" s="99" t="s">
        <v>25</v>
      </c>
      <c r="R25" s="133">
        <f t="shared" si="47"/>
        <v>2.0690347180413404</v>
      </c>
      <c r="S25" s="133">
        <f t="shared" si="61"/>
        <v>2.7333320225713331</v>
      </c>
      <c r="T25" s="133">
        <f t="shared" si="62"/>
        <v>3.3457604801420793</v>
      </c>
      <c r="U25" s="133">
        <f t="shared" si="63"/>
        <v>4.5663470334855516</v>
      </c>
      <c r="V25" s="133">
        <f t="shared" si="64"/>
        <v>5.3144237512662729</v>
      </c>
      <c r="W25" s="133">
        <f t="shared" si="65"/>
        <v>5.9428917364544365</v>
      </c>
      <c r="X25" s="133">
        <f t="shared" si="66"/>
        <v>7.3092063492063541</v>
      </c>
      <c r="Y25" s="133">
        <f t="shared" si="67"/>
        <v>8.6555984190471733</v>
      </c>
      <c r="Z25" s="133">
        <f t="shared" si="68"/>
        <v>9.7798149650677004</v>
      </c>
      <c r="AA25" s="133">
        <f t="shared" si="69"/>
        <v>10.844032078253685</v>
      </c>
      <c r="AB25" s="133">
        <f t="shared" si="48"/>
        <v>11.861783011370131</v>
      </c>
      <c r="AC25" s="74">
        <v>0.02</v>
      </c>
      <c r="AD25" s="99" t="s">
        <v>25</v>
      </c>
      <c r="AE25" s="76">
        <v>0.18119999999999997</v>
      </c>
      <c r="AF25" s="76">
        <v>0.18099999999999997</v>
      </c>
      <c r="AG25" s="76">
        <v>0.18079999999999999</v>
      </c>
      <c r="AH25" s="76">
        <v>0.18059999999999998</v>
      </c>
      <c r="AI25" s="76">
        <v>0.18039999999999998</v>
      </c>
      <c r="AJ25" s="76">
        <v>0.18019999999999997</v>
      </c>
      <c r="AK25" s="76">
        <v>0.17999999999999997</v>
      </c>
      <c r="AL25" s="76">
        <v>0.17979999999999996</v>
      </c>
      <c r="AM25" s="76">
        <v>0.17959999999999998</v>
      </c>
      <c r="AN25" s="76">
        <v>0.17939999999999998</v>
      </c>
      <c r="AO25" s="76">
        <v>0.17919999999999997</v>
      </c>
      <c r="AP25" s="76">
        <v>0.17899999999999996</v>
      </c>
      <c r="AQ25" s="75"/>
      <c r="AR25" s="136"/>
      <c r="AS25" s="137"/>
    </row>
    <row r="26" spans="2:46" ht="15" customHeight="1" x14ac:dyDescent="0.2">
      <c r="B26" s="5" t="s">
        <v>26</v>
      </c>
      <c r="C26" s="21">
        <f>C20*AE26</f>
        <v>2433.75</v>
      </c>
      <c r="D26" s="21">
        <f t="shared" ref="D26:N26" si="72">D20*AF26</f>
        <v>2488.3827272727267</v>
      </c>
      <c r="E26" s="21">
        <f t="shared" si="72"/>
        <v>2560.8027272727272</v>
      </c>
      <c r="F26" s="21">
        <f t="shared" si="72"/>
        <v>2651.042727272727</v>
      </c>
      <c r="G26" s="21">
        <f t="shared" si="72"/>
        <v>2776.8790909090903</v>
      </c>
      <c r="H26" s="21">
        <f t="shared" si="72"/>
        <v>2929.5</v>
      </c>
      <c r="I26" s="21">
        <f t="shared" si="72"/>
        <v>3108.954545454545</v>
      </c>
      <c r="J26" s="21">
        <f t="shared" si="72"/>
        <v>3341.9563636363632</v>
      </c>
      <c r="K26" s="21">
        <f t="shared" si="72"/>
        <v>3637.4972727272725</v>
      </c>
      <c r="L26" s="21">
        <f t="shared" si="72"/>
        <v>4000.1413636363632</v>
      </c>
      <c r="M26" s="21">
        <f t="shared" si="72"/>
        <v>4441.5872727272726</v>
      </c>
      <c r="N26" s="21">
        <f t="shared" si="72"/>
        <v>4977.0369000000001</v>
      </c>
      <c r="O26" s="108">
        <f t="shared" si="46"/>
        <v>7.8654798355886069E-2</v>
      </c>
      <c r="P26" s="24"/>
      <c r="Q26" s="5" t="s">
        <v>26</v>
      </c>
      <c r="R26" s="30">
        <f t="shared" si="47"/>
        <v>2.244796189942555</v>
      </c>
      <c r="S26" s="30">
        <f t="shared" si="61"/>
        <v>2.9103240111047146</v>
      </c>
      <c r="T26" s="30">
        <f t="shared" si="62"/>
        <v>3.5238950286540005</v>
      </c>
      <c r="U26" s="30">
        <f t="shared" si="63"/>
        <v>4.7466742931683292</v>
      </c>
      <c r="V26" s="30">
        <f t="shared" si="64"/>
        <v>5.496130875505445</v>
      </c>
      <c r="W26" s="30">
        <f t="shared" si="65"/>
        <v>6.1257738677093387</v>
      </c>
      <c r="X26" s="30">
        <f t="shared" si="66"/>
        <v>7.4945392341769335</v>
      </c>
      <c r="Y26" s="30">
        <f t="shared" si="67"/>
        <v>8.8433503293661389</v>
      </c>
      <c r="Z26" s="30">
        <f t="shared" si="68"/>
        <v>9.9696044758046618</v>
      </c>
      <c r="AA26" s="30">
        <f t="shared" si="69"/>
        <v>11.035757713562644</v>
      </c>
      <c r="AB26" s="30">
        <f t="shared" si="48"/>
        <v>12.055366570427539</v>
      </c>
      <c r="AC26" s="25">
        <v>0.06</v>
      </c>
      <c r="AD26" s="5" t="s">
        <v>26</v>
      </c>
      <c r="AE26" s="145">
        <v>8.8499999999999995E-2</v>
      </c>
      <c r="AF26" s="145">
        <v>8.8554545454545441E-2</v>
      </c>
      <c r="AG26" s="145">
        <v>8.8609090909090901E-2</v>
      </c>
      <c r="AH26" s="145">
        <v>8.8663636363636361E-2</v>
      </c>
      <c r="AI26" s="145">
        <v>8.8718181818181807E-2</v>
      </c>
      <c r="AJ26" s="145">
        <v>8.8772727272727267E-2</v>
      </c>
      <c r="AK26" s="145">
        <v>8.8827272727272713E-2</v>
      </c>
      <c r="AL26" s="145">
        <v>8.8881818181818173E-2</v>
      </c>
      <c r="AM26" s="145">
        <v>8.8936363636363633E-2</v>
      </c>
      <c r="AN26" s="145">
        <v>8.8990909090909079E-2</v>
      </c>
      <c r="AO26" s="145">
        <v>8.9045454545454539E-2</v>
      </c>
      <c r="AP26" s="145">
        <v>8.9099999999999999E-2</v>
      </c>
      <c r="AQ26" s="33"/>
      <c r="AS26" s="71"/>
    </row>
    <row r="27" spans="2:46" s="12" customFormat="1" ht="15" customHeight="1" x14ac:dyDescent="0.2">
      <c r="B27" s="5" t="s">
        <v>8</v>
      </c>
      <c r="C27" s="21">
        <f>C20*AE27</f>
        <v>2194.5</v>
      </c>
      <c r="D27" s="21">
        <f t="shared" ref="D27:N27" si="73">D20*AF27</f>
        <v>2245.4454545454546</v>
      </c>
      <c r="E27" s="21">
        <f t="shared" si="73"/>
        <v>2312.5254545454545</v>
      </c>
      <c r="F27" s="21">
        <f t="shared" si="73"/>
        <v>2395.8054545454547</v>
      </c>
      <c r="G27" s="21">
        <f t="shared" si="73"/>
        <v>2511.3981818181819</v>
      </c>
      <c r="H27" s="21">
        <f t="shared" si="73"/>
        <v>2651.4</v>
      </c>
      <c r="I27" s="21">
        <f t="shared" si="73"/>
        <v>2815.909090909091</v>
      </c>
      <c r="J27" s="21">
        <f t="shared" si="73"/>
        <v>3029.1927272727276</v>
      </c>
      <c r="K27" s="21">
        <f t="shared" si="73"/>
        <v>3299.5145454545454</v>
      </c>
      <c r="L27" s="21">
        <f t="shared" si="73"/>
        <v>3631.1427272727278</v>
      </c>
      <c r="M27" s="21">
        <f t="shared" si="73"/>
        <v>4034.838545454546</v>
      </c>
      <c r="N27" s="21">
        <f t="shared" si="73"/>
        <v>4524.5789999999997</v>
      </c>
      <c r="O27" s="108">
        <f t="shared" si="46"/>
        <v>7.9338231306001372E-2</v>
      </c>
      <c r="P27" s="24"/>
      <c r="Q27" s="5" t="s">
        <v>8</v>
      </c>
      <c r="R27" s="30">
        <f t="shared" si="47"/>
        <v>2.3215062449512214</v>
      </c>
      <c r="S27" s="30">
        <f t="shared" si="61"/>
        <v>2.9873805157105915</v>
      </c>
      <c r="T27" s="30">
        <f t="shared" si="62"/>
        <v>3.6012576569181887</v>
      </c>
      <c r="U27" s="30">
        <f t="shared" si="63"/>
        <v>4.8247960640300791</v>
      </c>
      <c r="V27" s="30">
        <f t="shared" si="64"/>
        <v>5.5746563486185563</v>
      </c>
      <c r="W27" s="30">
        <f t="shared" si="65"/>
        <v>6.2046123145919507</v>
      </c>
      <c r="X27" s="30">
        <f t="shared" si="66"/>
        <v>7.574237288135599</v>
      </c>
      <c r="Y27" s="30">
        <f t="shared" si="67"/>
        <v>8.9238897131909134</v>
      </c>
      <c r="Z27" s="30">
        <f t="shared" si="68"/>
        <v>10.050817392971867</v>
      </c>
      <c r="AA27" s="30">
        <f t="shared" si="69"/>
        <v>11.117597090022002</v>
      </c>
      <c r="AB27" s="30">
        <f t="shared" si="48"/>
        <v>12.137795577896714</v>
      </c>
      <c r="AC27" s="25">
        <v>7.0000000000000007E-2</v>
      </c>
      <c r="AD27" s="5" t="s">
        <v>8</v>
      </c>
      <c r="AE27" s="145">
        <v>7.9799999999999996E-2</v>
      </c>
      <c r="AF27" s="145">
        <v>7.9909090909090916E-2</v>
      </c>
      <c r="AG27" s="145">
        <v>8.0018181818181822E-2</v>
      </c>
      <c r="AH27" s="145">
        <v>8.0127272727272728E-2</v>
      </c>
      <c r="AI27" s="145">
        <v>8.0236363636363633E-2</v>
      </c>
      <c r="AJ27" s="145">
        <v>8.0345454545454553E-2</v>
      </c>
      <c r="AK27" s="145">
        <v>8.0454545454545459E-2</v>
      </c>
      <c r="AL27" s="145">
        <v>8.0563636363636365E-2</v>
      </c>
      <c r="AM27" s="145">
        <v>8.0672727272727271E-2</v>
      </c>
      <c r="AN27" s="145">
        <v>8.0781818181818191E-2</v>
      </c>
      <c r="AO27" s="145">
        <v>8.0890909090909097E-2</v>
      </c>
      <c r="AP27" s="145">
        <v>8.1000000000000003E-2</v>
      </c>
      <c r="AQ27" s="33"/>
      <c r="AR27" s="40"/>
      <c r="AS27" s="57"/>
    </row>
    <row r="28" spans="2:46" x14ac:dyDescent="0.2">
      <c r="B28" s="8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109"/>
      <c r="P28" s="24"/>
      <c r="Q28" s="8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25"/>
      <c r="AD28" s="8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T28" s="4"/>
    </row>
    <row r="29" spans="2:46" x14ac:dyDescent="0.2">
      <c r="B29" s="17" t="s">
        <v>33</v>
      </c>
      <c r="C29" s="35">
        <f t="shared" ref="C29:N29" si="74">C7</f>
        <v>27500</v>
      </c>
      <c r="D29" s="35">
        <f t="shared" si="74"/>
        <v>28100</v>
      </c>
      <c r="E29" s="35">
        <f t="shared" si="74"/>
        <v>28900</v>
      </c>
      <c r="F29" s="35">
        <f t="shared" si="74"/>
        <v>29900</v>
      </c>
      <c r="G29" s="35">
        <f t="shared" si="74"/>
        <v>31300</v>
      </c>
      <c r="H29" s="35">
        <f t="shared" si="74"/>
        <v>33000</v>
      </c>
      <c r="I29" s="35">
        <f t="shared" si="74"/>
        <v>35000</v>
      </c>
      <c r="J29" s="35">
        <f t="shared" si="74"/>
        <v>37600</v>
      </c>
      <c r="K29" s="35">
        <f t="shared" si="74"/>
        <v>40900</v>
      </c>
      <c r="L29" s="35">
        <f t="shared" si="74"/>
        <v>44950</v>
      </c>
      <c r="M29" s="35">
        <f t="shared" si="74"/>
        <v>49880</v>
      </c>
      <c r="N29" s="35">
        <f t="shared" si="74"/>
        <v>55859</v>
      </c>
      <c r="O29" s="108">
        <f t="shared" si="46"/>
        <v>7.8087905180006523E-2</v>
      </c>
      <c r="P29" s="24"/>
      <c r="Q29" s="17" t="s">
        <v>33</v>
      </c>
      <c r="R29" s="28">
        <f t="shared" ref="R29:R34" si="75">(D29/C29-1)*100</f>
        <v>2.1818181818181737</v>
      </c>
      <c r="S29" s="28">
        <f t="shared" ref="S29:S34" si="76">(E29/D29-1)*100</f>
        <v>2.8469750889679624</v>
      </c>
      <c r="T29" s="28">
        <f t="shared" ref="T29:T34" si="77">(F29/E29-1)*100</f>
        <v>3.460207612456756</v>
      </c>
      <c r="U29" s="28">
        <f t="shared" ref="U29:U34" si="78">(G29/F29-1)*100</f>
        <v>4.6822742474916357</v>
      </c>
      <c r="V29" s="28">
        <f t="shared" ref="V29:V34" si="79">(H29/G29-1)*100</f>
        <v>5.4313099041533475</v>
      </c>
      <c r="W29" s="28">
        <f t="shared" ref="W29:W34" si="80">(I29/H29-1)*100</f>
        <v>6.0606060606060552</v>
      </c>
      <c r="X29" s="28">
        <f t="shared" ref="X29:X34" si="81">(J29/I29-1)*100</f>
        <v>7.4285714285714288</v>
      </c>
      <c r="Y29" s="28">
        <f t="shared" ref="Y29:Y34" si="82">(K29/J29-1)*100</f>
        <v>8.7765957446808596</v>
      </c>
      <c r="Z29" s="28">
        <f t="shared" ref="Z29:Z34" si="83">(L29/K29-1)*100</f>
        <v>9.902200488997547</v>
      </c>
      <c r="AA29" s="28">
        <f t="shared" ref="AA29:AB34" si="84">(M29/L29-1)*100</f>
        <v>10.967741935483865</v>
      </c>
      <c r="AB29" s="28">
        <f t="shared" si="84"/>
        <v>11.986768243785084</v>
      </c>
      <c r="AC29" s="25"/>
      <c r="AD29" s="17" t="s">
        <v>33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J29" s="20">
        <v>1</v>
      </c>
      <c r="AK29" s="20">
        <v>1</v>
      </c>
      <c r="AL29" s="20">
        <v>1</v>
      </c>
      <c r="AM29" s="20">
        <v>1</v>
      </c>
      <c r="AN29" s="20">
        <v>1</v>
      </c>
      <c r="AO29" s="20">
        <v>1</v>
      </c>
      <c r="AP29" s="20">
        <v>1</v>
      </c>
      <c r="AR29" s="4"/>
      <c r="AT29" s="4"/>
    </row>
    <row r="30" spans="2:46" s="128" customFormat="1" x14ac:dyDescent="0.2">
      <c r="B30" s="77" t="s">
        <v>27</v>
      </c>
      <c r="C30" s="138">
        <f>C29*AE30</f>
        <v>8525.0000000000018</v>
      </c>
      <c r="D30" s="138">
        <f t="shared" ref="D30" si="85">D29*AF30</f>
        <v>8696.9500000000007</v>
      </c>
      <c r="E30" s="138">
        <f t="shared" ref="E30" si="86">E29*AG30</f>
        <v>8930.1000000000022</v>
      </c>
      <c r="F30" s="138">
        <f t="shared" ref="F30" si="87">F29*AH30</f>
        <v>9224.1500000000015</v>
      </c>
      <c r="G30" s="138">
        <f t="shared" ref="G30" si="88">G29*AI30</f>
        <v>9640.4000000000015</v>
      </c>
      <c r="H30" s="138">
        <f t="shared" ref="H30" si="89">H29*AJ30</f>
        <v>10147.500000000002</v>
      </c>
      <c r="I30" s="138">
        <f t="shared" ref="I30" si="90">I29*AK30</f>
        <v>10745.000000000002</v>
      </c>
      <c r="J30" s="138">
        <f t="shared" ref="J30" si="91">J29*AL30</f>
        <v>11524.400000000001</v>
      </c>
      <c r="K30" s="138">
        <f t="shared" ref="K30" si="92">K29*AM30</f>
        <v>12515.400000000001</v>
      </c>
      <c r="L30" s="138">
        <f t="shared" ref="L30" si="93">L29*AN30</f>
        <v>13732.225000000002</v>
      </c>
      <c r="M30" s="138">
        <f t="shared" ref="M30" si="94">M29*AO30</f>
        <v>15213.400000000003</v>
      </c>
      <c r="N30" s="138">
        <f t="shared" ref="N30" si="95">N29*AP30</f>
        <v>17009.065500000004</v>
      </c>
      <c r="O30" s="131">
        <f t="shared" si="46"/>
        <v>7.6579022942979691E-2</v>
      </c>
      <c r="P30" s="132"/>
      <c r="Q30" s="77" t="s">
        <v>27</v>
      </c>
      <c r="R30" s="139">
        <f t="shared" si="75"/>
        <v>2.0170087976539408</v>
      </c>
      <c r="S30" s="139">
        <f t="shared" si="76"/>
        <v>2.6808248868856577</v>
      </c>
      <c r="T30" s="139">
        <f t="shared" si="77"/>
        <v>3.2927962732780092</v>
      </c>
      <c r="U30" s="139">
        <f t="shared" si="78"/>
        <v>4.512610918079174</v>
      </c>
      <c r="V30" s="139">
        <f t="shared" si="79"/>
        <v>5.2601551802829771</v>
      </c>
      <c r="W30" s="139">
        <f t="shared" si="80"/>
        <v>5.8881497905888036</v>
      </c>
      <c r="X30" s="139">
        <f t="shared" si="81"/>
        <v>7.2536063285248975</v>
      </c>
      <c r="Y30" s="139">
        <f t="shared" si="82"/>
        <v>8.5991461594529852</v>
      </c>
      <c r="Z30" s="139">
        <f t="shared" si="83"/>
        <v>9.7226217300286031</v>
      </c>
      <c r="AA30" s="139">
        <f t="shared" si="84"/>
        <v>10.786125336571462</v>
      </c>
      <c r="AB30" s="133">
        <f t="shared" si="48"/>
        <v>11.803183377811678</v>
      </c>
      <c r="AC30" s="74">
        <v>0.01</v>
      </c>
      <c r="AD30" s="77" t="s">
        <v>27</v>
      </c>
      <c r="AE30" s="76">
        <v>0.31000000000000005</v>
      </c>
      <c r="AF30" s="76">
        <v>0.30950000000000005</v>
      </c>
      <c r="AG30" s="76">
        <v>0.30900000000000005</v>
      </c>
      <c r="AH30" s="76">
        <v>0.30850000000000005</v>
      </c>
      <c r="AI30" s="76">
        <v>0.30800000000000005</v>
      </c>
      <c r="AJ30" s="76">
        <v>0.30750000000000005</v>
      </c>
      <c r="AK30" s="76">
        <v>0.30700000000000005</v>
      </c>
      <c r="AL30" s="76">
        <v>0.30650000000000005</v>
      </c>
      <c r="AM30" s="76">
        <v>0.30600000000000005</v>
      </c>
      <c r="AN30" s="76">
        <v>0.30550000000000005</v>
      </c>
      <c r="AO30" s="76">
        <v>0.30500000000000005</v>
      </c>
      <c r="AP30" s="76">
        <v>0.30450000000000005</v>
      </c>
      <c r="AQ30" s="140"/>
      <c r="AR30" s="76"/>
      <c r="AS30" s="115"/>
      <c r="AT30" s="76"/>
    </row>
    <row r="31" spans="2:46" s="128" customFormat="1" x14ac:dyDescent="0.2">
      <c r="B31" s="77" t="s">
        <v>28</v>
      </c>
      <c r="C31" s="138">
        <f>C29*AE31</f>
        <v>6490</v>
      </c>
      <c r="D31" s="138">
        <f t="shared" ref="D31" si="96">D29*AF31</f>
        <v>6622.659090909091</v>
      </c>
      <c r="E31" s="138">
        <f t="shared" ref="E31" si="97">E29*AG31</f>
        <v>6802.0090909090904</v>
      </c>
      <c r="F31" s="138">
        <f t="shared" ref="F31" si="98">F29*AH31</f>
        <v>7027.8590909090917</v>
      </c>
      <c r="G31" s="138">
        <f t="shared" ref="G31" si="99">G29*AI31</f>
        <v>7346.9636363636364</v>
      </c>
      <c r="H31" s="138">
        <f t="shared" ref="H31" si="100">H29*AJ31</f>
        <v>7735.5000000000009</v>
      </c>
      <c r="I31" s="138">
        <f t="shared" ref="I31" si="101">I29*AK31</f>
        <v>8193.181818181818</v>
      </c>
      <c r="J31" s="138">
        <f t="shared" ref="J31" si="102">J29*AL31</f>
        <v>8789.8545454545456</v>
      </c>
      <c r="K31" s="138">
        <f t="shared" ref="K31" si="103">K29*AM31</f>
        <v>9548.2909090909088</v>
      </c>
      <c r="L31" s="138">
        <f t="shared" ref="L31" si="104">L29*AN31</f>
        <v>10479.479545454547</v>
      </c>
      <c r="M31" s="138">
        <f t="shared" ref="M31" si="105">M29*AO31</f>
        <v>11612.970909090911</v>
      </c>
      <c r="N31" s="138">
        <f t="shared" ref="N31" si="106">N29*AP31</f>
        <v>12987.217500000001</v>
      </c>
      <c r="O31" s="131">
        <f t="shared" si="46"/>
        <v>7.6829185054990923E-2</v>
      </c>
      <c r="P31" s="132"/>
      <c r="Q31" s="77" t="s">
        <v>28</v>
      </c>
      <c r="R31" s="139">
        <f t="shared" si="75"/>
        <v>2.0440537890460853</v>
      </c>
      <c r="S31" s="139">
        <f t="shared" si="76"/>
        <v>2.7081267137273102</v>
      </c>
      <c r="T31" s="139">
        <f t="shared" si="77"/>
        <v>3.3203425191220326</v>
      </c>
      <c r="U31" s="139">
        <f t="shared" si="78"/>
        <v>4.5405655026197644</v>
      </c>
      <c r="V31" s="139">
        <f t="shared" si="79"/>
        <v>5.2883937210919552</v>
      </c>
      <c r="W31" s="139">
        <f t="shared" si="80"/>
        <v>5.9166416932559862</v>
      </c>
      <c r="X31" s="139">
        <f t="shared" si="81"/>
        <v>7.2825520110957109</v>
      </c>
      <c r="Y31" s="139">
        <f t="shared" si="82"/>
        <v>8.6285428241650521</v>
      </c>
      <c r="Z31" s="139">
        <f t="shared" si="83"/>
        <v>9.7524116643435743</v>
      </c>
      <c r="AA31" s="139">
        <f t="shared" si="84"/>
        <v>10.816294442103413</v>
      </c>
      <c r="AB31" s="133">
        <f t="shared" si="48"/>
        <v>11.83372111811023</v>
      </c>
      <c r="AC31" s="74">
        <v>0.02</v>
      </c>
      <c r="AD31" s="77" t="s">
        <v>28</v>
      </c>
      <c r="AE31" s="76">
        <v>0.23599999999999999</v>
      </c>
      <c r="AF31" s="76">
        <v>0.23568181818181819</v>
      </c>
      <c r="AG31" s="76">
        <v>0.23536363636363636</v>
      </c>
      <c r="AH31" s="76">
        <v>0.23504545454545456</v>
      </c>
      <c r="AI31" s="76">
        <v>0.23472727272727273</v>
      </c>
      <c r="AJ31" s="76">
        <v>0.23440909090909093</v>
      </c>
      <c r="AK31" s="76">
        <v>0.2340909090909091</v>
      </c>
      <c r="AL31" s="76">
        <v>0.2337727272727273</v>
      </c>
      <c r="AM31" s="76">
        <v>0.23345454545454547</v>
      </c>
      <c r="AN31" s="76">
        <v>0.23313636363636367</v>
      </c>
      <c r="AO31" s="76">
        <v>0.23281818181818184</v>
      </c>
      <c r="AP31" s="76">
        <v>0.23250000000000001</v>
      </c>
      <c r="AQ31" s="140"/>
      <c r="AR31" s="76"/>
      <c r="AS31" s="115"/>
      <c r="AT31" s="76"/>
    </row>
    <row r="32" spans="2:46" s="12" customFormat="1" x14ac:dyDescent="0.2">
      <c r="B32" s="8" t="s">
        <v>29</v>
      </c>
      <c r="C32" s="45">
        <f>C29*AE32</f>
        <v>5720</v>
      </c>
      <c r="D32" s="45">
        <f t="shared" ref="D32:N32" si="107">D29*AF32</f>
        <v>5849.909090909091</v>
      </c>
      <c r="E32" s="45">
        <f t="shared" si="107"/>
        <v>6021.7090909090912</v>
      </c>
      <c r="F32" s="45">
        <f t="shared" si="107"/>
        <v>6235.5090909090904</v>
      </c>
      <c r="G32" s="45">
        <f t="shared" si="107"/>
        <v>6533.1636363636362</v>
      </c>
      <c r="H32" s="45">
        <f t="shared" si="107"/>
        <v>6894</v>
      </c>
      <c r="I32" s="45">
        <f t="shared" si="107"/>
        <v>7318.1818181818189</v>
      </c>
      <c r="J32" s="45">
        <f t="shared" si="107"/>
        <v>7868.6545454545458</v>
      </c>
      <c r="K32" s="45">
        <f t="shared" si="107"/>
        <v>8566.6909090909085</v>
      </c>
      <c r="L32" s="45">
        <f t="shared" si="107"/>
        <v>9423.1545454545467</v>
      </c>
      <c r="M32" s="45">
        <f t="shared" si="107"/>
        <v>10465.730909090909</v>
      </c>
      <c r="N32" s="45">
        <f t="shared" si="107"/>
        <v>11730.39</v>
      </c>
      <c r="O32" s="108">
        <f t="shared" si="46"/>
        <v>7.8890354226099246E-2</v>
      </c>
      <c r="P32" s="24"/>
      <c r="Q32" s="8" t="s">
        <v>29</v>
      </c>
      <c r="R32" s="32">
        <f t="shared" si="75"/>
        <v>2.271137952956126</v>
      </c>
      <c r="S32" s="32">
        <f t="shared" si="76"/>
        <v>2.9367977746352025</v>
      </c>
      <c r="T32" s="32">
        <f t="shared" si="77"/>
        <v>3.5504870257311305</v>
      </c>
      <c r="U32" s="32">
        <f t="shared" si="78"/>
        <v>4.7735403976638224</v>
      </c>
      <c r="V32" s="32">
        <f t="shared" si="79"/>
        <v>5.5231490242789283</v>
      </c>
      <c r="W32" s="32">
        <f t="shared" si="80"/>
        <v>6.1529129414247041</v>
      </c>
      <c r="X32" s="32">
        <f t="shared" si="81"/>
        <v>7.5219875776397549</v>
      </c>
      <c r="Y32" s="32">
        <f t="shared" si="82"/>
        <v>8.8711019095328645</v>
      </c>
      <c r="Z32" s="32">
        <f t="shared" si="83"/>
        <v>9.9976017046998322</v>
      </c>
      <c r="AA32" s="32">
        <f t="shared" si="84"/>
        <v>11.063984556416639</v>
      </c>
      <c r="AB32" s="32">
        <f t="shared" si="48"/>
        <v>12.083810503961656</v>
      </c>
      <c r="AC32" s="25">
        <v>0.03</v>
      </c>
      <c r="AD32" s="8" t="s">
        <v>29</v>
      </c>
      <c r="AE32" s="4">
        <v>0.20799999999999999</v>
      </c>
      <c r="AF32" s="4">
        <v>0.20818181818181819</v>
      </c>
      <c r="AG32" s="4">
        <v>0.20836363636363636</v>
      </c>
      <c r="AH32" s="4">
        <v>0.20854545454545453</v>
      </c>
      <c r="AI32" s="4">
        <v>0.20872727272727273</v>
      </c>
      <c r="AJ32" s="4">
        <v>0.20890909090909091</v>
      </c>
      <c r="AK32" s="4">
        <v>0.20909090909090911</v>
      </c>
      <c r="AL32" s="4">
        <v>0.20927272727272728</v>
      </c>
      <c r="AM32" s="4">
        <v>0.20945454545454545</v>
      </c>
      <c r="AN32" s="4">
        <v>0.20963636363636365</v>
      </c>
      <c r="AO32" s="4">
        <v>0.20981818181818182</v>
      </c>
      <c r="AP32" s="4">
        <v>0.21</v>
      </c>
      <c r="AQ32" s="41"/>
      <c r="AR32" s="4"/>
      <c r="AS32" s="9"/>
      <c r="AT32" s="4"/>
    </row>
    <row r="33" spans="2:46" s="12" customFormat="1" x14ac:dyDescent="0.2">
      <c r="B33" s="8" t="s">
        <v>30</v>
      </c>
      <c r="C33" s="45">
        <f>C29*AE33</f>
        <v>3575</v>
      </c>
      <c r="D33" s="45">
        <f t="shared" ref="D33:N33" si="108">D29*AF33</f>
        <v>3659.386363636364</v>
      </c>
      <c r="E33" s="45">
        <f t="shared" si="108"/>
        <v>3770.136363636364</v>
      </c>
      <c r="F33" s="45">
        <f t="shared" si="108"/>
        <v>3907.3863636363644</v>
      </c>
      <c r="G33" s="45">
        <f t="shared" si="108"/>
        <v>4097.454545454546</v>
      </c>
      <c r="H33" s="45">
        <f t="shared" si="108"/>
        <v>4327.5000000000009</v>
      </c>
      <c r="I33" s="45">
        <f t="shared" si="108"/>
        <v>4597.727272727273</v>
      </c>
      <c r="J33" s="45">
        <f t="shared" si="108"/>
        <v>4947.8181818181829</v>
      </c>
      <c r="K33" s="45">
        <f t="shared" si="108"/>
        <v>5391.3636363636369</v>
      </c>
      <c r="L33" s="45">
        <f t="shared" si="108"/>
        <v>5935.4431818181829</v>
      </c>
      <c r="M33" s="45">
        <f t="shared" si="108"/>
        <v>6597.7636363636375</v>
      </c>
      <c r="N33" s="45">
        <f t="shared" si="108"/>
        <v>7401.3175000000001</v>
      </c>
      <c r="O33" s="108">
        <f t="shared" si="46"/>
        <v>7.9682330613216168E-2</v>
      </c>
      <c r="P33" s="24"/>
      <c r="Q33" s="8" t="s">
        <v>30</v>
      </c>
      <c r="R33" s="32">
        <f t="shared" si="75"/>
        <v>2.3604577240941005</v>
      </c>
      <c r="S33" s="32">
        <f t="shared" si="76"/>
        <v>3.0264637016886864</v>
      </c>
      <c r="T33" s="32">
        <f t="shared" si="77"/>
        <v>3.6404518765899674</v>
      </c>
      <c r="U33" s="32">
        <f t="shared" si="78"/>
        <v>4.8643303766177093</v>
      </c>
      <c r="V33" s="32">
        <f t="shared" si="79"/>
        <v>5.6143503727369648</v>
      </c>
      <c r="W33" s="32">
        <f t="shared" si="80"/>
        <v>6.2444199359277253</v>
      </c>
      <c r="X33" s="32">
        <f t="shared" si="81"/>
        <v>7.6144340088976969</v>
      </c>
      <c r="Y33" s="32">
        <f t="shared" si="82"/>
        <v>8.9644655128063633</v>
      </c>
      <c r="Z33" s="32">
        <f t="shared" si="83"/>
        <v>10.0916870415648</v>
      </c>
      <c r="AA33" s="32">
        <f t="shared" si="84"/>
        <v>11.158736327799668</v>
      </c>
      <c r="AB33" s="32">
        <f t="shared" si="48"/>
        <v>12.179185371351696</v>
      </c>
      <c r="AC33" s="25">
        <v>0.04</v>
      </c>
      <c r="AD33" s="8" t="s">
        <v>30</v>
      </c>
      <c r="AE33" s="4">
        <v>0.13</v>
      </c>
      <c r="AF33" s="4">
        <v>0.13022727272727275</v>
      </c>
      <c r="AG33" s="4">
        <v>0.13045454545454546</v>
      </c>
      <c r="AH33" s="4">
        <v>0.1306818181818182</v>
      </c>
      <c r="AI33" s="4">
        <v>0.13090909090909092</v>
      </c>
      <c r="AJ33" s="4">
        <v>0.13113636363636366</v>
      </c>
      <c r="AK33" s="4">
        <v>0.13136363636363638</v>
      </c>
      <c r="AL33" s="4">
        <v>0.13159090909090912</v>
      </c>
      <c r="AM33" s="4">
        <v>0.13181818181818183</v>
      </c>
      <c r="AN33" s="4">
        <v>0.13204545454545458</v>
      </c>
      <c r="AO33" s="4">
        <v>0.13227272727272729</v>
      </c>
      <c r="AP33" s="4">
        <v>0.13250000000000001</v>
      </c>
      <c r="AQ33" s="41"/>
      <c r="AR33" s="4"/>
      <c r="AS33" s="9"/>
      <c r="AT33" s="4"/>
    </row>
    <row r="34" spans="2:46" s="12" customFormat="1" x14ac:dyDescent="0.2">
      <c r="B34" s="8" t="s">
        <v>31</v>
      </c>
      <c r="C34" s="45">
        <f>C29*AE34</f>
        <v>3190</v>
      </c>
      <c r="D34" s="45">
        <f t="shared" ref="D34:N34" si="109">D29*AF34</f>
        <v>3271.0954545454547</v>
      </c>
      <c r="E34" s="45">
        <f t="shared" si="109"/>
        <v>3376.0454545454545</v>
      </c>
      <c r="F34" s="45">
        <f t="shared" si="109"/>
        <v>3505.0954545454542</v>
      </c>
      <c r="G34" s="45">
        <f t="shared" si="109"/>
        <v>3682.0181818181818</v>
      </c>
      <c r="H34" s="45">
        <f t="shared" si="109"/>
        <v>3895.4999999999995</v>
      </c>
      <c r="I34" s="45">
        <f t="shared" si="109"/>
        <v>4145.909090909091</v>
      </c>
      <c r="J34" s="45">
        <f t="shared" si="109"/>
        <v>4469.272727272727</v>
      </c>
      <c r="K34" s="45">
        <f t="shared" si="109"/>
        <v>4878.2545454545452</v>
      </c>
      <c r="L34" s="45">
        <f t="shared" si="109"/>
        <v>5379.6977272727272</v>
      </c>
      <c r="M34" s="45">
        <f t="shared" si="109"/>
        <v>5990.1345454545453</v>
      </c>
      <c r="N34" s="45">
        <f t="shared" si="109"/>
        <v>6731.0095000000001</v>
      </c>
      <c r="O34" s="108">
        <f t="shared" si="46"/>
        <v>8.1262146640939559E-2</v>
      </c>
      <c r="P34" s="24"/>
      <c r="Q34" s="8" t="s">
        <v>31</v>
      </c>
      <c r="R34" s="32">
        <f t="shared" si="75"/>
        <v>2.5421772584782065</v>
      </c>
      <c r="S34" s="32">
        <f t="shared" si="76"/>
        <v>3.2084053020881242</v>
      </c>
      <c r="T34" s="32">
        <f t="shared" si="77"/>
        <v>3.8225196235509351</v>
      </c>
      <c r="U34" s="32">
        <f t="shared" si="78"/>
        <v>5.0475865655325247</v>
      </c>
      <c r="V34" s="32">
        <f t="shared" si="79"/>
        <v>5.7979566542064154</v>
      </c>
      <c r="W34" s="32">
        <f t="shared" si="80"/>
        <v>6.428163031936629</v>
      </c>
      <c r="X34" s="32">
        <f t="shared" si="81"/>
        <v>7.7995833790154512</v>
      </c>
      <c r="Y34" s="32">
        <f t="shared" si="82"/>
        <v>9.1509702615841562</v>
      </c>
      <c r="Z34" s="32">
        <f t="shared" si="83"/>
        <v>10.279151633967443</v>
      </c>
      <c r="AA34" s="32">
        <f t="shared" si="84"/>
        <v>11.347046788282711</v>
      </c>
      <c r="AB34" s="32">
        <f t="shared" si="48"/>
        <v>12.368252314259752</v>
      </c>
      <c r="AC34" s="25">
        <v>0.05</v>
      </c>
      <c r="AD34" s="8" t="s">
        <v>31</v>
      </c>
      <c r="AE34" s="4">
        <v>0.11600000000000001</v>
      </c>
      <c r="AF34" s="4">
        <v>0.11640909090909091</v>
      </c>
      <c r="AG34" s="4">
        <v>0.11681818181818182</v>
      </c>
      <c r="AH34" s="4">
        <v>0.11722727272727272</v>
      </c>
      <c r="AI34" s="4">
        <v>0.11763636363636364</v>
      </c>
      <c r="AJ34" s="4">
        <v>0.11804545454545454</v>
      </c>
      <c r="AK34" s="4">
        <v>0.11845454545454545</v>
      </c>
      <c r="AL34" s="4">
        <v>0.11886363636363635</v>
      </c>
      <c r="AM34" s="4">
        <v>0.11927272727272727</v>
      </c>
      <c r="AN34" s="4">
        <v>0.11968181818181818</v>
      </c>
      <c r="AO34" s="4">
        <v>0.12009090909090908</v>
      </c>
      <c r="AP34" s="4">
        <v>0.1205</v>
      </c>
      <c r="AQ34" s="41"/>
      <c r="AR34" s="4"/>
      <c r="AS34" s="9"/>
      <c r="AT34" s="4"/>
    </row>
    <row r="35" spans="2:46" s="12" customFormat="1" x14ac:dyDescent="0.2">
      <c r="B35" s="8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109"/>
      <c r="P35" s="24"/>
      <c r="Q35" s="8"/>
      <c r="R35" s="3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25"/>
      <c r="AD35" s="8"/>
      <c r="AE35" s="4"/>
      <c r="AF35" s="33"/>
      <c r="AG35" s="33"/>
      <c r="AH35" s="4"/>
      <c r="AI35" s="4"/>
      <c r="AJ35" s="4"/>
      <c r="AK35" s="4"/>
      <c r="AL35" s="4"/>
      <c r="AM35" s="4"/>
      <c r="AN35" s="4"/>
      <c r="AO35" s="4"/>
      <c r="AP35" s="4"/>
      <c r="AQ35" s="41"/>
      <c r="AR35" s="40"/>
      <c r="AS35" s="9"/>
    </row>
    <row r="36" spans="2:46" x14ac:dyDescent="0.2">
      <c r="C36" s="4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2:46" x14ac:dyDescent="0.2">
      <c r="B37" s="8"/>
      <c r="C37" s="44">
        <v>15125.000000000002</v>
      </c>
      <c r="D37" s="12">
        <v>15449.890909090911</v>
      </c>
      <c r="E37" s="12">
        <v>15884.490909090911</v>
      </c>
      <c r="F37" s="12">
        <v>16428.69090909091</v>
      </c>
      <c r="G37" s="12">
        <v>17192.236363636366</v>
      </c>
      <c r="H37" s="12">
        <v>18120</v>
      </c>
      <c r="I37" s="12">
        <v>19211.81818181818</v>
      </c>
      <c r="J37" s="12">
        <v>20632.145454545454</v>
      </c>
      <c r="K37" s="12">
        <v>22435.50909090909</v>
      </c>
      <c r="L37" s="12">
        <v>24648.945454545457</v>
      </c>
      <c r="M37" s="12">
        <v>27343.309090909093</v>
      </c>
      <c r="N37" s="12">
        <v>30610.732000000004</v>
      </c>
      <c r="Q37" s="2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46" x14ac:dyDescent="0.2">
      <c r="C38" s="12">
        <v>5500.0000000000009</v>
      </c>
      <c r="D38" s="12">
        <v>5609.2709090909102</v>
      </c>
      <c r="E38" s="12">
        <v>5757.9309090909101</v>
      </c>
      <c r="F38" s="12">
        <v>5945.7509090909098</v>
      </c>
      <c r="G38" s="12">
        <v>6212.1963636363644</v>
      </c>
      <c r="H38" s="12">
        <v>6537.0000000000009</v>
      </c>
      <c r="I38" s="12">
        <v>6919.8181818181829</v>
      </c>
      <c r="J38" s="12">
        <v>7419.5054545454559</v>
      </c>
      <c r="K38" s="12">
        <v>8055.0690909090918</v>
      </c>
      <c r="L38" s="12">
        <v>8835.5354545454557</v>
      </c>
      <c r="M38" s="12">
        <v>9785.5490909090913</v>
      </c>
      <c r="N38" s="12">
        <v>10937.192200000001</v>
      </c>
      <c r="Q38" s="5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46" x14ac:dyDescent="0.2">
      <c r="C39" s="12">
        <v>3025</v>
      </c>
      <c r="D39" s="12">
        <v>3092.7881818181818</v>
      </c>
      <c r="E39" s="12">
        <v>3182.6781818181817</v>
      </c>
      <c r="F39" s="12">
        <v>3294.7081818181819</v>
      </c>
      <c r="G39" s="12">
        <v>3450.9672727272728</v>
      </c>
      <c r="H39" s="12">
        <v>3640.5000000000005</v>
      </c>
      <c r="I39" s="12">
        <v>3863.3636363636369</v>
      </c>
      <c r="J39" s="12">
        <v>4152.7490909090911</v>
      </c>
      <c r="K39" s="12">
        <v>4519.8218181818183</v>
      </c>
      <c r="L39" s="12">
        <v>4970.244090909091</v>
      </c>
      <c r="M39" s="12">
        <v>5518.5418181818186</v>
      </c>
      <c r="N39" s="12">
        <v>6183.5913</v>
      </c>
      <c r="Q39" s="2"/>
      <c r="R39" s="30"/>
      <c r="S39" s="30"/>
      <c r="T39" s="30"/>
      <c r="U39" s="30"/>
      <c r="V39" s="30"/>
      <c r="W39" s="30"/>
      <c r="X39" s="30"/>
      <c r="Y39" s="30"/>
      <c r="Z39" s="30"/>
      <c r="AA39" s="30"/>
      <c r="AE39" s="4"/>
    </row>
    <row r="40" spans="2:46" x14ac:dyDescent="0.2">
      <c r="C40" s="12">
        <v>3850.0000000000005</v>
      </c>
      <c r="D40" s="12">
        <v>3935.2772727272732</v>
      </c>
      <c r="E40" s="12">
        <v>4048.6272727272731</v>
      </c>
      <c r="F40" s="12">
        <v>4190.0772727272733</v>
      </c>
      <c r="G40" s="12">
        <v>4387.6909090909094</v>
      </c>
      <c r="H40" s="12">
        <v>4627.5000000000009</v>
      </c>
      <c r="I40" s="12">
        <v>4909.5454545454559</v>
      </c>
      <c r="J40" s="12">
        <v>5275.9636363636373</v>
      </c>
      <c r="K40" s="12">
        <v>5740.8727272727283</v>
      </c>
      <c r="L40" s="12">
        <v>6311.3886363636375</v>
      </c>
      <c r="M40" s="12">
        <v>7005.8727272727283</v>
      </c>
      <c r="N40" s="12">
        <v>7848.1895000000004</v>
      </c>
      <c r="AD40" s="33"/>
      <c r="AE40" s="33"/>
    </row>
    <row r="41" spans="2:46" x14ac:dyDescent="0.2">
      <c r="B41" s="66"/>
      <c r="C41" s="62">
        <v>2750</v>
      </c>
      <c r="D41" s="12">
        <v>2812.5545454545459</v>
      </c>
      <c r="E41" s="12">
        <v>2895.2545454545457</v>
      </c>
      <c r="F41" s="12">
        <v>2998.1545454545458</v>
      </c>
      <c r="G41" s="12">
        <v>3141.3818181818187</v>
      </c>
      <c r="H41" s="12">
        <v>3315.0000000000005</v>
      </c>
      <c r="I41" s="12">
        <v>3519.0909090909099</v>
      </c>
      <c r="J41" s="12">
        <v>3783.9272727272732</v>
      </c>
      <c r="K41" s="12">
        <v>4119.7454545454548</v>
      </c>
      <c r="L41" s="12">
        <v>4531.7772727272732</v>
      </c>
      <c r="M41" s="12">
        <v>5033.3454545454551</v>
      </c>
      <c r="N41" s="12">
        <v>5641.759</v>
      </c>
      <c r="AD41" s="33"/>
      <c r="AE41" s="33"/>
    </row>
    <row r="42" spans="2:46" x14ac:dyDescent="0.2">
      <c r="B42" s="72"/>
      <c r="C42" s="62">
        <v>12375</v>
      </c>
      <c r="D42" s="12">
        <v>12650.109090909091</v>
      </c>
      <c r="E42" s="12" t="s">
        <v>71</v>
      </c>
      <c r="F42" s="12">
        <v>13471.309090909092</v>
      </c>
      <c r="G42" s="12">
        <v>14107.763636363637</v>
      </c>
      <c r="H42" s="12">
        <v>14880</v>
      </c>
      <c r="I42" s="12">
        <v>15788.181818181818</v>
      </c>
      <c r="J42" s="12">
        <v>16967.854545454546</v>
      </c>
      <c r="K42" s="12">
        <v>18464.49090909091</v>
      </c>
      <c r="L42" s="12">
        <v>20301.054545454546</v>
      </c>
      <c r="M42" s="12">
        <v>22536.69090909091</v>
      </c>
      <c r="N42" s="12">
        <v>25248.268</v>
      </c>
      <c r="AD42" s="4"/>
      <c r="AE42" s="4"/>
      <c r="AH42" s="29">
        <v>2023</v>
      </c>
      <c r="AI42" s="29">
        <v>2030</v>
      </c>
      <c r="AJ42" s="34"/>
      <c r="AK42" s="4"/>
      <c r="AL42" s="4"/>
    </row>
    <row r="43" spans="2:46" x14ac:dyDescent="0.2">
      <c r="B43" s="66"/>
      <c r="C43" s="62">
        <v>3025</v>
      </c>
      <c r="D43" s="12">
        <v>3093.0436363636368</v>
      </c>
      <c r="E43" s="12">
        <v>3183.2036363636362</v>
      </c>
      <c r="F43" s="12">
        <v>3295.5236363636368</v>
      </c>
      <c r="G43" s="12">
        <v>3452.1054545454544</v>
      </c>
      <c r="H43" s="12">
        <v>3642.0000000000005</v>
      </c>
      <c r="I43" s="12">
        <v>3865.2727272727275</v>
      </c>
      <c r="J43" s="12">
        <v>4155.141818181819</v>
      </c>
      <c r="K43" s="12">
        <v>4522.7963636363638</v>
      </c>
      <c r="L43" s="12">
        <v>4973.9218181818187</v>
      </c>
      <c r="M43" s="12">
        <v>5523.0763636363636</v>
      </c>
      <c r="N43" s="12">
        <v>6189.1772000000001</v>
      </c>
      <c r="AD43" s="33"/>
      <c r="AE43" s="33"/>
      <c r="AG43" s="2" t="str">
        <f>AD8</f>
        <v>Flexible Electronics</v>
      </c>
      <c r="AH43" s="33">
        <f>AI8</f>
        <v>0.54927272727272736</v>
      </c>
      <c r="AI43" s="33">
        <f>AP8</f>
        <v>0.54800000000000004</v>
      </c>
      <c r="AJ43" s="34"/>
      <c r="AK43" s="4"/>
      <c r="AL43" s="4"/>
    </row>
    <row r="44" spans="2:46" x14ac:dyDescent="0.2">
      <c r="B44" s="66"/>
      <c r="C44" s="62">
        <v>2475</v>
      </c>
      <c r="D44" s="12">
        <v>2532.8318181818177</v>
      </c>
      <c r="E44" s="12">
        <v>2608.8818181818178</v>
      </c>
      <c r="F44" s="12">
        <v>2703.2318181818177</v>
      </c>
      <c r="G44" s="12">
        <v>2834.0727272727272</v>
      </c>
      <c r="H44" s="12">
        <v>2992.4999999999995</v>
      </c>
      <c r="I44" s="12">
        <v>3178.6363636363635</v>
      </c>
      <c r="J44" s="12">
        <v>3419.8909090909087</v>
      </c>
      <c r="K44" s="12">
        <v>3725.6181818181817</v>
      </c>
      <c r="L44" s="12">
        <v>4100.6659090909088</v>
      </c>
      <c r="M44" s="12">
        <v>4557.2181818181816</v>
      </c>
      <c r="N44" s="12">
        <v>5111.0985000000001</v>
      </c>
      <c r="AD44" s="33"/>
      <c r="AE44" s="33"/>
      <c r="AG44" s="177" t="str">
        <f>AD13</f>
        <v>Flexible Circuit</v>
      </c>
      <c r="AH44" s="33">
        <f>AI13</f>
        <v>0.45072727272727275</v>
      </c>
      <c r="AI44" s="33">
        <f>AP13</f>
        <v>0.45200000000000001</v>
      </c>
      <c r="AJ44" s="34"/>
      <c r="AK44" s="4"/>
      <c r="AL44" s="4"/>
    </row>
    <row r="45" spans="2:46" x14ac:dyDescent="0.2">
      <c r="B45" s="66"/>
      <c r="C45" s="62">
        <v>3574.9999999999995</v>
      </c>
      <c r="D45" s="12">
        <v>3648.4018181818174</v>
      </c>
      <c r="E45" s="12">
        <v>3747.5418181818172</v>
      </c>
      <c r="F45" s="12">
        <v>3872.3218181818174</v>
      </c>
      <c r="G45" s="12">
        <v>4048.5127272727264</v>
      </c>
      <c r="H45" s="12">
        <v>4263</v>
      </c>
      <c r="I45" s="12">
        <v>4515.6363636363631</v>
      </c>
      <c r="J45" s="12">
        <v>4844.9309090909082</v>
      </c>
      <c r="K45" s="12">
        <v>5263.4581818181814</v>
      </c>
      <c r="L45" s="12">
        <v>5777.3009090909081</v>
      </c>
      <c r="M45" s="12">
        <v>6402.7781818181811</v>
      </c>
      <c r="N45" s="12">
        <v>7161.1237999999985</v>
      </c>
      <c r="AD45" s="4"/>
      <c r="AE45" s="4"/>
      <c r="AF45" s="34"/>
      <c r="AG45" s="5"/>
      <c r="AH45" s="33"/>
      <c r="AI45" s="33"/>
    </row>
    <row r="46" spans="2:46" x14ac:dyDescent="0.2">
      <c r="B46" s="66"/>
      <c r="C46" s="62">
        <v>1925.0000000000002</v>
      </c>
      <c r="D46" s="12">
        <v>1968.2772727272729</v>
      </c>
      <c r="E46" s="12">
        <v>2025.6272727272728</v>
      </c>
      <c r="F46" s="12">
        <v>2097.0772727272729</v>
      </c>
      <c r="G46" s="12">
        <v>2196.6909090909089</v>
      </c>
      <c r="H46" s="12">
        <v>2317.5000000000005</v>
      </c>
      <c r="I46" s="12">
        <v>2459.545454545455</v>
      </c>
      <c r="J46" s="12">
        <v>2643.9636363636364</v>
      </c>
      <c r="K46" s="12">
        <v>2877.8727272727274</v>
      </c>
      <c r="L46" s="12">
        <v>3164.8886363636361</v>
      </c>
      <c r="M46" s="12">
        <v>3514.272727272727</v>
      </c>
      <c r="N46" s="12">
        <v>3938.0594999999998</v>
      </c>
      <c r="AD46" s="64"/>
      <c r="AE46" s="4"/>
      <c r="AF46" s="34"/>
      <c r="AG46" s="5"/>
      <c r="AH46" s="33"/>
      <c r="AI46" s="33"/>
    </row>
    <row r="47" spans="2:46" x14ac:dyDescent="0.2">
      <c r="B47" s="66"/>
      <c r="C47" s="62">
        <v>1375</v>
      </c>
      <c r="D47" s="12">
        <v>1407.5545454545456</v>
      </c>
      <c r="E47" s="12">
        <v>1450.2545454545457</v>
      </c>
      <c r="F47" s="12">
        <v>1503.1545454545458</v>
      </c>
      <c r="G47" s="12">
        <v>1576.3818181818183</v>
      </c>
      <c r="H47" s="12">
        <v>1665.0000000000002</v>
      </c>
      <c r="I47" s="12">
        <v>1769.090909090909</v>
      </c>
      <c r="J47" s="12">
        <v>1903.9272727272728</v>
      </c>
      <c r="K47" s="12">
        <v>2074.7454545454548</v>
      </c>
      <c r="L47" s="12">
        <v>2284.2772727272727</v>
      </c>
      <c r="M47" s="12">
        <v>2539.3454545454547</v>
      </c>
      <c r="N47" s="12">
        <v>2848.8090000000002</v>
      </c>
      <c r="AF47" s="34"/>
      <c r="AG47" s="5"/>
      <c r="AH47" s="33"/>
      <c r="AI47" s="33"/>
    </row>
    <row r="48" spans="2:46" x14ac:dyDescent="0.2">
      <c r="B48" s="66"/>
      <c r="C48" s="62"/>
      <c r="AG48" s="5"/>
      <c r="AH48" s="33"/>
      <c r="AI48" s="33"/>
    </row>
    <row r="49" spans="2:39" x14ac:dyDescent="0.2">
      <c r="B49" s="66"/>
      <c r="C49" s="62"/>
      <c r="AG49" s="5"/>
      <c r="AH49" s="33"/>
      <c r="AI49" s="33"/>
    </row>
    <row r="50" spans="2:39" x14ac:dyDescent="0.2">
      <c r="B50" s="66"/>
      <c r="C50" s="62"/>
      <c r="AG50" s="5"/>
      <c r="AH50" s="33"/>
      <c r="AI50" s="33"/>
    </row>
    <row r="51" spans="2:39" x14ac:dyDescent="0.2">
      <c r="AG51" s="5"/>
      <c r="AH51" s="33"/>
      <c r="AI51" s="33"/>
    </row>
    <row r="52" spans="2:39" x14ac:dyDescent="0.2">
      <c r="AG52" s="4"/>
      <c r="AH52" s="4"/>
    </row>
    <row r="53" spans="2:39" x14ac:dyDescent="0.2">
      <c r="AG53" s="4"/>
      <c r="AH53" s="4"/>
    </row>
    <row r="54" spans="2:39" x14ac:dyDescent="0.2">
      <c r="AG54" s="4"/>
      <c r="AH54" s="4"/>
    </row>
    <row r="55" spans="2:39" x14ac:dyDescent="0.2">
      <c r="AG55" s="4"/>
      <c r="AH55" s="29">
        <v>2023</v>
      </c>
      <c r="AI55" s="29">
        <v>2030</v>
      </c>
    </row>
    <row r="56" spans="2:39" x14ac:dyDescent="0.2">
      <c r="AG56" s="2" t="str">
        <f>AD21</f>
        <v>Automotive</v>
      </c>
      <c r="AH56" s="33">
        <f>AI21</f>
        <v>0.16668181818181818</v>
      </c>
      <c r="AI56" s="33">
        <f>AP21</f>
        <v>0.16700000000000001</v>
      </c>
    </row>
    <row r="57" spans="2:39" x14ac:dyDescent="0.2">
      <c r="B57" s="8"/>
      <c r="D57" s="62"/>
      <c r="AG57" s="2" t="str">
        <f t="shared" ref="AG57:AG62" si="110">AD22</f>
        <v>Military, Defense and Aerospace</v>
      </c>
      <c r="AH57" s="33">
        <f t="shared" ref="AH57:AH61" si="111">AI22</f>
        <v>0.12580000000000002</v>
      </c>
      <c r="AI57" s="33">
        <f t="shared" ref="AI57:AI62" si="112">AP22</f>
        <v>0.1265</v>
      </c>
    </row>
    <row r="58" spans="2:39" x14ac:dyDescent="0.2">
      <c r="B58" s="8"/>
      <c r="D58" s="62"/>
      <c r="AG58" s="2" t="str">
        <f t="shared" si="110"/>
        <v>Consumer Electronics</v>
      </c>
      <c r="AH58" s="33">
        <f t="shared" si="111"/>
        <v>0.2428454545454545</v>
      </c>
      <c r="AI58" s="33">
        <f t="shared" si="112"/>
        <v>0.24169999999999997</v>
      </c>
    </row>
    <row r="59" spans="2:39" x14ac:dyDescent="0.2">
      <c r="B59" s="8"/>
      <c r="AG59" s="2" t="str">
        <f t="shared" si="110"/>
        <v>Industrial</v>
      </c>
      <c r="AH59" s="33">
        <f t="shared" si="111"/>
        <v>0.11531818181818182</v>
      </c>
      <c r="AI59" s="33">
        <f t="shared" si="112"/>
        <v>0.11570000000000001</v>
      </c>
    </row>
    <row r="60" spans="2:39" x14ac:dyDescent="0.2">
      <c r="B60" s="8"/>
      <c r="AG60" s="2" t="str">
        <f t="shared" si="110"/>
        <v>Healthcare and Medical</v>
      </c>
      <c r="AH60" s="33">
        <f t="shared" si="111"/>
        <v>0.18039999999999998</v>
      </c>
      <c r="AI60" s="33">
        <f t="shared" si="112"/>
        <v>0.17899999999999996</v>
      </c>
    </row>
    <row r="61" spans="2:39" x14ac:dyDescent="0.2">
      <c r="B61" s="8"/>
      <c r="AG61" s="2" t="str">
        <f t="shared" si="110"/>
        <v>Energy and Power</v>
      </c>
      <c r="AH61" s="33">
        <f t="shared" si="111"/>
        <v>8.8718181818181807E-2</v>
      </c>
      <c r="AI61" s="33">
        <f t="shared" si="112"/>
        <v>8.9099999999999999E-2</v>
      </c>
    </row>
    <row r="62" spans="2:39" x14ac:dyDescent="0.2">
      <c r="AG62" s="2" t="str">
        <f t="shared" si="110"/>
        <v>Others</v>
      </c>
      <c r="AH62" s="33">
        <f>AI27</f>
        <v>8.0236363636363633E-2</v>
      </c>
      <c r="AI62" s="33">
        <f t="shared" si="112"/>
        <v>8.1000000000000003E-2</v>
      </c>
    </row>
    <row r="63" spans="2:39" x14ac:dyDescent="0.2">
      <c r="B63" s="8"/>
      <c r="D63" s="62"/>
      <c r="AG63" s="4"/>
      <c r="AH63" s="4"/>
      <c r="AL63" s="4"/>
      <c r="AM63" s="4"/>
    </row>
    <row r="64" spans="2:39" x14ac:dyDescent="0.2">
      <c r="B64" s="8"/>
      <c r="D64" s="62"/>
      <c r="T64" s="34"/>
      <c r="U64" s="30"/>
      <c r="V64" s="30"/>
      <c r="W64" s="30"/>
      <c r="X64" s="30"/>
      <c r="Y64" s="30"/>
      <c r="Z64" s="30"/>
      <c r="AA64" s="30"/>
      <c r="AB64" s="37"/>
      <c r="AC64" s="127"/>
      <c r="AD64" s="3"/>
      <c r="AE64" s="30"/>
      <c r="AG64" s="4"/>
      <c r="AH64" s="4"/>
      <c r="AL64" s="4"/>
      <c r="AM64" s="4"/>
    </row>
    <row r="65" spans="2:39" x14ac:dyDescent="0.2">
      <c r="B65" s="8"/>
      <c r="D65" s="62"/>
      <c r="T65" s="34"/>
      <c r="U65" s="30"/>
      <c r="V65" s="30"/>
      <c r="W65" s="30"/>
      <c r="X65" s="30"/>
      <c r="Y65" s="30"/>
      <c r="Z65" s="30"/>
      <c r="AA65" s="30"/>
      <c r="AB65" s="37"/>
      <c r="AC65" s="127"/>
      <c r="AD65" s="3"/>
      <c r="AE65" s="30"/>
      <c r="AG65" s="4"/>
      <c r="AH65" s="4"/>
      <c r="AL65" s="4"/>
      <c r="AM65" s="4"/>
    </row>
    <row r="66" spans="2:39" x14ac:dyDescent="0.2">
      <c r="B66" s="8"/>
      <c r="D66" s="62"/>
      <c r="AG66" s="4"/>
      <c r="AH66" s="4"/>
    </row>
    <row r="69" spans="2:39" x14ac:dyDescent="0.2">
      <c r="B69" s="8"/>
      <c r="D69" s="62"/>
    </row>
    <row r="70" spans="2:39" x14ac:dyDescent="0.2">
      <c r="B70" s="8"/>
      <c r="D70" s="62"/>
    </row>
    <row r="71" spans="2:39" x14ac:dyDescent="0.2">
      <c r="B71" s="8"/>
      <c r="AH71" s="29"/>
      <c r="AI71" s="29"/>
    </row>
    <row r="72" spans="2:39" x14ac:dyDescent="0.2">
      <c r="B72" s="8"/>
      <c r="AG72" s="8"/>
      <c r="AH72" s="33"/>
      <c r="AI72" s="33"/>
    </row>
    <row r="73" spans="2:39" x14ac:dyDescent="0.2">
      <c r="B73" s="8"/>
      <c r="AG73" s="8"/>
      <c r="AH73" s="33"/>
      <c r="AI73" s="33"/>
    </row>
    <row r="74" spans="2:39" x14ac:dyDescent="0.2">
      <c r="B74" s="8"/>
      <c r="AG74" s="8"/>
      <c r="AH74" s="33"/>
      <c r="AI74" s="33"/>
    </row>
    <row r="75" spans="2:39" x14ac:dyDescent="0.2">
      <c r="AG75" s="8"/>
      <c r="AH75" s="33"/>
      <c r="AI75" s="33"/>
    </row>
    <row r="76" spans="2:39" x14ac:dyDescent="0.2">
      <c r="AG76" s="8"/>
      <c r="AH76" s="33"/>
      <c r="AI76" s="33"/>
    </row>
    <row r="77" spans="2:39" x14ac:dyDescent="0.2">
      <c r="AG77" s="8"/>
      <c r="AH77" s="33"/>
      <c r="AI77" s="33"/>
    </row>
    <row r="78" spans="2:39" x14ac:dyDescent="0.2">
      <c r="AG78" s="8"/>
      <c r="AH78" s="33"/>
      <c r="AI78" s="33"/>
    </row>
    <row r="86" spans="5:38" x14ac:dyDescent="0.2">
      <c r="AH86" s="29">
        <v>2023</v>
      </c>
      <c r="AI86" s="29">
        <v>2030</v>
      </c>
    </row>
    <row r="87" spans="5:38" x14ac:dyDescent="0.2">
      <c r="AG87" s="8" t="str">
        <f>AD30</f>
        <v>North America</v>
      </c>
      <c r="AH87" s="4">
        <f>AI30</f>
        <v>0.30800000000000005</v>
      </c>
      <c r="AI87" s="4">
        <f>AP30</f>
        <v>0.30450000000000005</v>
      </c>
      <c r="AK87" s="4"/>
      <c r="AL87" s="4"/>
    </row>
    <row r="88" spans="5:38" x14ac:dyDescent="0.2"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110"/>
      <c r="AG88" s="8" t="str">
        <f>AD31</f>
        <v>Europe</v>
      </c>
      <c r="AH88" s="4">
        <f>AI31</f>
        <v>0.23472727272727273</v>
      </c>
      <c r="AI88" s="4">
        <f>AP31</f>
        <v>0.23250000000000001</v>
      </c>
      <c r="AK88" s="4"/>
      <c r="AL88" s="4"/>
    </row>
    <row r="89" spans="5:38" x14ac:dyDescent="0.2">
      <c r="F89" s="63"/>
      <c r="G89" s="63"/>
      <c r="H89" s="63"/>
      <c r="I89" s="63"/>
      <c r="J89" s="63"/>
      <c r="K89" s="63"/>
      <c r="L89" s="63"/>
      <c r="M89" s="63"/>
      <c r="N89" s="63"/>
      <c r="O89" s="111"/>
      <c r="AG89" s="8" t="str">
        <f>AD32</f>
        <v>Asia-Pacific</v>
      </c>
      <c r="AH89" s="4">
        <f>AI32</f>
        <v>0.20872727272727273</v>
      </c>
      <c r="AI89" s="4">
        <f>AP32</f>
        <v>0.21</v>
      </c>
      <c r="AK89" s="4"/>
      <c r="AL89" s="4"/>
    </row>
    <row r="90" spans="5:38" x14ac:dyDescent="0.2">
      <c r="AG90" s="8" t="str">
        <f>AD33</f>
        <v>Latin America</v>
      </c>
      <c r="AH90" s="4">
        <f>AI33</f>
        <v>0.13090909090909092</v>
      </c>
      <c r="AI90" s="4">
        <f>AP33</f>
        <v>0.13250000000000001</v>
      </c>
      <c r="AK90" s="4"/>
      <c r="AL90" s="4"/>
    </row>
    <row r="91" spans="5:38" x14ac:dyDescent="0.2">
      <c r="E91" s="48"/>
      <c r="AG91" s="8" t="str">
        <f>AD34</f>
        <v>Middle East &amp; Africa</v>
      </c>
      <c r="AH91" s="4">
        <f>AI34</f>
        <v>0.11763636363636364</v>
      </c>
      <c r="AI91" s="4">
        <f>AP34</f>
        <v>0.1205</v>
      </c>
      <c r="AK91" s="4"/>
      <c r="AL91" s="4"/>
    </row>
    <row r="92" spans="5:38" x14ac:dyDescent="0.2">
      <c r="E92" s="48"/>
      <c r="F92" s="63"/>
      <c r="AG92" s="8"/>
      <c r="AH92" s="4"/>
      <c r="AI92" s="4"/>
    </row>
    <row r="93" spans="5:38" x14ac:dyDescent="0.2">
      <c r="E93" s="48"/>
      <c r="F93" s="63"/>
      <c r="AG93" s="8"/>
      <c r="AH93" s="4"/>
      <c r="AI93" s="4"/>
    </row>
    <row r="94" spans="5:38" x14ac:dyDescent="0.2">
      <c r="E94" s="48"/>
      <c r="F94" s="63"/>
      <c r="AG94" s="8"/>
      <c r="AH94" s="4"/>
      <c r="AI94" s="4"/>
    </row>
    <row r="95" spans="5:38" x14ac:dyDescent="0.2">
      <c r="E95" s="48"/>
      <c r="F95" s="63"/>
      <c r="AG95" s="8"/>
      <c r="AH95" s="4"/>
      <c r="AI95" s="4"/>
    </row>
    <row r="96" spans="5:38" x14ac:dyDescent="0.2">
      <c r="E96" s="48"/>
      <c r="F96" s="63"/>
      <c r="AG96" s="8"/>
      <c r="AH96" s="4"/>
      <c r="AI96" s="4"/>
    </row>
    <row r="97" spans="5:35" x14ac:dyDescent="0.2">
      <c r="E97" s="48"/>
      <c r="F97" s="63"/>
    </row>
    <row r="98" spans="5:35" x14ac:dyDescent="0.2">
      <c r="E98" s="48"/>
      <c r="F98" s="63"/>
    </row>
    <row r="99" spans="5:35" x14ac:dyDescent="0.2">
      <c r="E99" s="48"/>
      <c r="F99" s="63"/>
    </row>
    <row r="100" spans="5:35" x14ac:dyDescent="0.2">
      <c r="E100" s="48"/>
      <c r="F100" s="63"/>
    </row>
    <row r="106" spans="5:35" x14ac:dyDescent="0.2">
      <c r="AG106" s="8"/>
      <c r="AH106" s="33"/>
      <c r="AI106" s="33"/>
    </row>
    <row r="107" spans="5:35" x14ac:dyDescent="0.2">
      <c r="AG107" s="8"/>
      <c r="AH107" s="33"/>
      <c r="AI107" s="33"/>
    </row>
    <row r="108" spans="5:35" x14ac:dyDescent="0.2">
      <c r="AH108" s="29"/>
      <c r="AI108" s="29"/>
    </row>
    <row r="109" spans="5:35" x14ac:dyDescent="0.2">
      <c r="AG109" s="8"/>
      <c r="AH109" s="4"/>
      <c r="AI109" s="4"/>
    </row>
    <row r="110" spans="5:35" x14ac:dyDescent="0.2">
      <c r="AG110" s="8"/>
      <c r="AH110" s="4"/>
      <c r="AI110" s="4"/>
    </row>
    <row r="111" spans="5:35" x14ac:dyDescent="0.2">
      <c r="AG111" s="8"/>
      <c r="AH111" s="4"/>
      <c r="AI111" s="4"/>
    </row>
    <row r="112" spans="5:35" x14ac:dyDescent="0.2">
      <c r="AG112" s="8"/>
      <c r="AH112" s="4"/>
      <c r="AI112" s="4"/>
    </row>
    <row r="113" spans="32:35" x14ac:dyDescent="0.2">
      <c r="AG113" s="8"/>
      <c r="AH113" s="4"/>
      <c r="AI113" s="4"/>
    </row>
    <row r="119" spans="32:35" x14ac:dyDescent="0.2">
      <c r="AH119" s="4"/>
      <c r="AI119" s="4"/>
    </row>
    <row r="120" spans="32:35" x14ac:dyDescent="0.2">
      <c r="AH120" s="4"/>
      <c r="AI120" s="4"/>
    </row>
    <row r="121" spans="32:35" x14ac:dyDescent="0.2">
      <c r="AH121" s="4"/>
      <c r="AI121" s="4"/>
    </row>
    <row r="122" spans="32:35" x14ac:dyDescent="0.2">
      <c r="AH122" s="4"/>
      <c r="AI122" s="4"/>
    </row>
    <row r="123" spans="32:35" x14ac:dyDescent="0.2">
      <c r="AH123" s="4"/>
      <c r="AI123" s="4"/>
    </row>
    <row r="127" spans="32:35" x14ac:dyDescent="0.2">
      <c r="AF127" s="8"/>
      <c r="AG127" s="4"/>
      <c r="AH127" s="4"/>
    </row>
    <row r="128" spans="32:35" x14ac:dyDescent="0.2">
      <c r="AF128" s="8"/>
      <c r="AG128" s="4"/>
      <c r="AH128" s="4"/>
    </row>
    <row r="129" spans="32:34" x14ac:dyDescent="0.2">
      <c r="AF129" s="8"/>
      <c r="AG129" s="4"/>
      <c r="AH129" s="4"/>
    </row>
  </sheetData>
  <mergeCells count="6">
    <mergeCell ref="AF4:AP4"/>
    <mergeCell ref="AD4:AD6"/>
    <mergeCell ref="B4:B6"/>
    <mergeCell ref="D4:M4"/>
    <mergeCell ref="Q4:Q6"/>
    <mergeCell ref="S4:AB4"/>
  </mergeCells>
  <conditionalFormatting sqref="R8:AB19 R37:AA39">
    <cfRule type="containsText" dxfId="19" priority="5" operator="containsText" text="volume or kilo">
      <formula>NOT(ISERROR(SEARCH("volume or kilo",R8)))</formula>
    </cfRule>
    <cfRule type="containsText" dxfId="18" priority="6" operator="containsText" text="volume">
      <formula>NOT(ISERROR(SEARCH("volume",R8)))</formula>
    </cfRule>
  </conditionalFormatting>
  <conditionalFormatting sqref="R21:AB28">
    <cfRule type="containsText" dxfId="17" priority="19" operator="containsText" text="volume or kilo">
      <formula>NOT(ISERROR(SEARCH("volume or kilo",R21)))</formula>
    </cfRule>
    <cfRule type="containsText" dxfId="16" priority="20" operator="containsText" text="volume">
      <formula>NOT(ISERROR(SEARCH("volume",R21)))</formula>
    </cfRule>
  </conditionalFormatting>
  <conditionalFormatting sqref="U64:AE65">
    <cfRule type="containsText" dxfId="15" priority="12" operator="containsText" text="volume">
      <formula>NOT(ISERROR(SEARCH("volume",U64)))</formula>
    </cfRule>
    <cfRule type="containsText" dxfId="14" priority="11" operator="containsText" text="volume or kilo">
      <formula>NOT(ISERROR(SEARCH("volume or kilo",U64)))</formula>
    </cfRule>
  </conditionalFormatting>
  <conditionalFormatting sqref="AB30:AB31 AK42">
    <cfRule type="containsText" dxfId="13" priority="33" operator="containsText" text="volume or kilo">
      <formula>NOT(ISERROR(SEARCH("volume or kilo",AB30)))</formula>
    </cfRule>
    <cfRule type="containsText" dxfId="12" priority="34" operator="containsText" text="volume">
      <formula>NOT(ISERROR(SEARCH("volume",AB30)))</formula>
    </cfRule>
  </conditionalFormatting>
  <pageMargins left="0.7" right="0.7" top="0.75" bottom="0.75" header="0.3" footer="0.3"/>
  <pageSetup orientation="portrait" r:id="rId1"/>
  <ignoredErrors>
    <ignoredError sqref="AB30:AB31 AB21:AB22 AB7:AB9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R124"/>
  <sheetViews>
    <sheetView zoomScale="90" zoomScaleNormal="90" workbookViewId="0">
      <selection activeCell="C20" sqref="C20"/>
    </sheetView>
  </sheetViews>
  <sheetFormatPr baseColWidth="10" defaultColWidth="15.83203125" defaultRowHeight="15" x14ac:dyDescent="0.2"/>
  <cols>
    <col min="1" max="1" width="10.6640625" style="12" customWidth="1"/>
    <col min="2" max="2" width="26.1640625" style="12" customWidth="1"/>
    <col min="3" max="3" width="10.5" style="12" customWidth="1"/>
    <col min="4" max="4" width="11.5" style="12" bestFit="1" customWidth="1"/>
    <col min="5" max="5" width="10.1640625" style="12" bestFit="1" customWidth="1"/>
    <col min="6" max="13" width="11.33203125" style="12" bestFit="1" customWidth="1"/>
    <col min="14" max="14" width="12.5" style="12" customWidth="1"/>
    <col min="15" max="15" width="15.83203125" style="9"/>
    <col min="16" max="16" width="15.83203125" style="12"/>
    <col min="17" max="17" width="24.33203125" style="12" customWidth="1"/>
    <col min="18" max="18" width="13.33203125" style="12" customWidth="1"/>
    <col min="19" max="27" width="15.83203125" style="12"/>
    <col min="28" max="28" width="12.83203125" style="12" customWidth="1"/>
    <col min="29" max="29" width="14.5" style="12" customWidth="1"/>
    <col min="30" max="30" width="35.1640625" style="12" customWidth="1"/>
    <col min="31" max="31" width="12.6640625" style="12" customWidth="1"/>
    <col min="32" max="32" width="11.83203125" style="12" customWidth="1"/>
    <col min="33" max="33" width="11.5" style="12" customWidth="1"/>
    <col min="34" max="35" width="12.33203125" style="12" customWidth="1"/>
    <col min="36" max="36" width="11.33203125" style="12" customWidth="1"/>
    <col min="37" max="37" width="11.1640625" style="12" customWidth="1"/>
    <col min="38" max="38" width="12" style="12" customWidth="1"/>
    <col min="39" max="39" width="10.6640625" style="12" customWidth="1"/>
    <col min="40" max="41" width="11.33203125" style="12" customWidth="1"/>
    <col min="42" max="42" width="12.1640625" style="12" customWidth="1"/>
    <col min="43" max="16384" width="15.83203125" style="12"/>
  </cols>
  <sheetData>
    <row r="3" spans="1:44" ht="16" x14ac:dyDescent="0.2">
      <c r="A3" s="58"/>
      <c r="D3" s="39"/>
    </row>
    <row r="4" spans="1:44" ht="15" customHeight="1" x14ac:dyDescent="0.2">
      <c r="B4" s="179" t="s">
        <v>34</v>
      </c>
      <c r="C4" s="11"/>
      <c r="D4" s="180" t="s">
        <v>3</v>
      </c>
      <c r="E4" s="180"/>
      <c r="F4" s="180"/>
      <c r="G4" s="180"/>
      <c r="H4" s="180"/>
      <c r="I4" s="180"/>
      <c r="J4" s="180"/>
      <c r="K4" s="180"/>
      <c r="L4" s="180"/>
      <c r="M4" s="180"/>
      <c r="N4" s="11"/>
      <c r="Q4" s="179" t="s">
        <v>34</v>
      </c>
      <c r="R4" s="28"/>
      <c r="S4" s="180" t="s">
        <v>4</v>
      </c>
      <c r="T4" s="180"/>
      <c r="U4" s="180"/>
      <c r="V4" s="180"/>
      <c r="W4" s="180"/>
      <c r="X4" s="180"/>
      <c r="Y4" s="180"/>
      <c r="Z4" s="180"/>
      <c r="AA4" s="180"/>
      <c r="AB4" s="180"/>
      <c r="AD4" s="179" t="s">
        <v>34</v>
      </c>
      <c r="AE4" s="13"/>
      <c r="AF4" s="178" t="s">
        <v>0</v>
      </c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40"/>
      <c r="AR4" s="40"/>
    </row>
    <row r="5" spans="1:44" x14ac:dyDescent="0.2">
      <c r="B5" s="179"/>
      <c r="C5" s="29">
        <v>2019</v>
      </c>
      <c r="D5" s="29">
        <v>2020</v>
      </c>
      <c r="E5" s="29">
        <v>2021</v>
      </c>
      <c r="F5" s="29">
        <v>2022</v>
      </c>
      <c r="G5" s="29">
        <v>2023</v>
      </c>
      <c r="H5" s="29">
        <v>2024</v>
      </c>
      <c r="I5" s="29">
        <v>2025</v>
      </c>
      <c r="J5" s="29">
        <v>2026</v>
      </c>
      <c r="K5" s="29">
        <v>2027</v>
      </c>
      <c r="L5" s="29">
        <v>2028</v>
      </c>
      <c r="M5" s="29">
        <v>2029</v>
      </c>
      <c r="N5" s="29">
        <v>2030</v>
      </c>
      <c r="O5" s="14" t="s">
        <v>5</v>
      </c>
      <c r="Q5" s="179"/>
      <c r="R5" s="29">
        <v>2020</v>
      </c>
      <c r="S5" s="29">
        <v>2021</v>
      </c>
      <c r="T5" s="29">
        <v>2022</v>
      </c>
      <c r="U5" s="29">
        <v>2023</v>
      </c>
      <c r="V5" s="29">
        <v>2024</v>
      </c>
      <c r="W5" s="29">
        <v>2025</v>
      </c>
      <c r="X5" s="29">
        <v>2026</v>
      </c>
      <c r="Y5" s="29">
        <v>2027</v>
      </c>
      <c r="Z5" s="29">
        <v>2028</v>
      </c>
      <c r="AA5" s="29">
        <v>2029</v>
      </c>
      <c r="AB5" s="29">
        <v>2030</v>
      </c>
      <c r="AD5" s="179"/>
      <c r="AE5" s="29">
        <v>2019</v>
      </c>
      <c r="AF5" s="29">
        <v>2020</v>
      </c>
      <c r="AG5" s="29">
        <v>2021</v>
      </c>
      <c r="AH5" s="29">
        <v>2022</v>
      </c>
      <c r="AI5" s="29">
        <v>2023</v>
      </c>
      <c r="AJ5" s="29">
        <v>2024</v>
      </c>
      <c r="AK5" s="29">
        <v>2025</v>
      </c>
      <c r="AL5" s="29">
        <v>2026</v>
      </c>
      <c r="AM5" s="29">
        <v>2027</v>
      </c>
      <c r="AN5" s="29">
        <v>2028</v>
      </c>
      <c r="AO5" s="29">
        <v>2029</v>
      </c>
      <c r="AP5" s="29">
        <v>2030</v>
      </c>
      <c r="AQ5" s="40"/>
      <c r="AR5" s="40"/>
    </row>
    <row r="6" spans="1:44" x14ac:dyDescent="0.2">
      <c r="B6" s="179"/>
      <c r="E6" s="39"/>
      <c r="Q6" s="179"/>
      <c r="AB6" s="36"/>
      <c r="AC6" s="36"/>
      <c r="AD6" s="179"/>
      <c r="AE6" s="16"/>
      <c r="AG6" s="39"/>
      <c r="AQ6" s="59"/>
      <c r="AR6" s="60"/>
    </row>
    <row r="7" spans="1:44" s="8" customFormat="1" ht="14.5" customHeight="1" x14ac:dyDescent="0.2">
      <c r="B7" s="17" t="s">
        <v>9</v>
      </c>
      <c r="C7" s="49">
        <f>Global!C30</f>
        <v>8525.0000000000018</v>
      </c>
      <c r="D7" s="49">
        <f>Global!D30</f>
        <v>8696.9500000000007</v>
      </c>
      <c r="E7" s="49">
        <f>Global!E30</f>
        <v>8930.1000000000022</v>
      </c>
      <c r="F7" s="49">
        <f>Global!F30</f>
        <v>9224.1500000000015</v>
      </c>
      <c r="G7" s="49">
        <f>Global!G30</f>
        <v>9640.4000000000015</v>
      </c>
      <c r="H7" s="49">
        <f>Global!H30</f>
        <v>10147.500000000002</v>
      </c>
      <c r="I7" s="49">
        <f>Global!I30</f>
        <v>10745.000000000002</v>
      </c>
      <c r="J7" s="49">
        <f>Global!J30</f>
        <v>11524.400000000001</v>
      </c>
      <c r="K7" s="49">
        <f>Global!K30</f>
        <v>12515.400000000001</v>
      </c>
      <c r="L7" s="49">
        <f>Global!L30</f>
        <v>13732.225000000002</v>
      </c>
      <c r="M7" s="49">
        <f>Global!M30</f>
        <v>15213.400000000003</v>
      </c>
      <c r="N7" s="49">
        <f>Global!N30</f>
        <v>17009.065500000004</v>
      </c>
      <c r="O7" s="19">
        <f>((N7/H7)^(1/7)-1)*100%</f>
        <v>7.6579022942979691E-2</v>
      </c>
      <c r="P7" s="51"/>
      <c r="Q7" s="17" t="s">
        <v>9</v>
      </c>
      <c r="R7" s="49">
        <f t="shared" ref="R7:AB18" si="0">(D7/C7-1)*100</f>
        <v>2.0170087976539408</v>
      </c>
      <c r="S7" s="49">
        <f t="shared" si="0"/>
        <v>2.6808248868856577</v>
      </c>
      <c r="T7" s="49">
        <f t="shared" si="0"/>
        <v>3.2927962732780092</v>
      </c>
      <c r="U7" s="49">
        <f t="shared" si="0"/>
        <v>4.512610918079174</v>
      </c>
      <c r="V7" s="49">
        <f t="shared" si="0"/>
        <v>5.2601551802829771</v>
      </c>
      <c r="W7" s="49">
        <f t="shared" si="0"/>
        <v>5.8881497905888036</v>
      </c>
      <c r="X7" s="49">
        <f t="shared" si="0"/>
        <v>7.2536063285248975</v>
      </c>
      <c r="Y7" s="49">
        <f t="shared" si="0"/>
        <v>8.5991461594529852</v>
      </c>
      <c r="Z7" s="49">
        <f t="shared" si="0"/>
        <v>9.7226217300286031</v>
      </c>
      <c r="AA7" s="49">
        <f t="shared" si="0"/>
        <v>10.786125336571462</v>
      </c>
      <c r="AB7" s="49">
        <f t="shared" si="0"/>
        <v>11.803183377811678</v>
      </c>
      <c r="AC7" s="25"/>
      <c r="AD7" s="17" t="s">
        <v>9</v>
      </c>
      <c r="AE7" s="20">
        <v>1</v>
      </c>
      <c r="AF7" s="20">
        <v>1</v>
      </c>
      <c r="AG7" s="20">
        <v>1</v>
      </c>
      <c r="AH7" s="20">
        <v>1</v>
      </c>
      <c r="AI7" s="20">
        <v>1</v>
      </c>
      <c r="AJ7" s="20">
        <v>1</v>
      </c>
      <c r="AK7" s="20">
        <v>1</v>
      </c>
      <c r="AL7" s="20">
        <v>1</v>
      </c>
      <c r="AM7" s="20">
        <v>1</v>
      </c>
      <c r="AN7" s="20">
        <v>1</v>
      </c>
      <c r="AO7" s="20">
        <v>1</v>
      </c>
      <c r="AP7" s="20">
        <v>1</v>
      </c>
      <c r="AQ7" s="46"/>
      <c r="AR7" s="47"/>
    </row>
    <row r="8" spans="1:44" s="8" customFormat="1" x14ac:dyDescent="0.2">
      <c r="B8" s="5" t="s">
        <v>10</v>
      </c>
      <c r="C8" s="52">
        <f>C7*AE8</f>
        <v>4518.2500000000009</v>
      </c>
      <c r="D8" s="52">
        <f t="shared" ref="D8:N8" si="1">D7*AF8</f>
        <v>4607.4069204545458</v>
      </c>
      <c r="E8" s="52">
        <f t="shared" si="1"/>
        <v>4728.8938636363646</v>
      </c>
      <c r="F8" s="52">
        <f t="shared" si="1"/>
        <v>4882.5103068181825</v>
      </c>
      <c r="G8" s="52">
        <f t="shared" si="1"/>
        <v>5100.6480000000001</v>
      </c>
      <c r="H8" s="52">
        <f t="shared" si="1"/>
        <v>5366.643750000002</v>
      </c>
      <c r="I8" s="52">
        <f t="shared" si="1"/>
        <v>5680.197727272729</v>
      </c>
      <c r="J8" s="52">
        <f t="shared" si="1"/>
        <v>6089.5977272727287</v>
      </c>
      <c r="K8" s="52">
        <f t="shared" si="1"/>
        <v>6610.4067272727279</v>
      </c>
      <c r="L8" s="52">
        <f t="shared" si="1"/>
        <v>7249.9906079545462</v>
      </c>
      <c r="M8" s="52">
        <f t="shared" si="1"/>
        <v>8028.5260909090921</v>
      </c>
      <c r="N8" s="52">
        <f t="shared" si="1"/>
        <v>8972.282051250002</v>
      </c>
      <c r="O8" s="19">
        <f t="shared" ref="O8:O18" si="2">((N8/H8)^(1/7)-1)*100%</f>
        <v>7.6182029663418582E-2</v>
      </c>
      <c r="P8" s="51"/>
      <c r="Q8" s="5" t="s">
        <v>10</v>
      </c>
      <c r="R8" s="53">
        <f t="shared" si="0"/>
        <v>1.9732622244130971</v>
      </c>
      <c r="S8" s="53">
        <f t="shared" si="0"/>
        <v>2.6367747689590493</v>
      </c>
      <c r="T8" s="53">
        <f t="shared" si="0"/>
        <v>3.2484646010577212</v>
      </c>
      <c r="U8" s="53">
        <f t="shared" si="0"/>
        <v>4.4677364608365355</v>
      </c>
      <c r="V8" s="53">
        <f t="shared" si="0"/>
        <v>5.2149403369925018</v>
      </c>
      <c r="W8" s="53">
        <f t="shared" si="0"/>
        <v>5.842645643708444</v>
      </c>
      <c r="X8" s="53">
        <f t="shared" si="0"/>
        <v>7.207495577738765</v>
      </c>
      <c r="Y8" s="53">
        <f t="shared" si="0"/>
        <v>8.5524368492768676</v>
      </c>
      <c r="Z8" s="53">
        <f t="shared" si="0"/>
        <v>9.6754088979588815</v>
      </c>
      <c r="AA8" s="53">
        <f t="shared" si="0"/>
        <v>10.738434365699078</v>
      </c>
      <c r="AB8" s="53">
        <f t="shared" si="0"/>
        <v>11.755033858699782</v>
      </c>
      <c r="AC8" s="132">
        <v>0.01</v>
      </c>
      <c r="AD8" s="5" t="s">
        <v>10</v>
      </c>
      <c r="AE8" s="76">
        <v>0.53</v>
      </c>
      <c r="AF8" s="76">
        <v>0.52977272727272728</v>
      </c>
      <c r="AG8" s="76">
        <v>0.52954545454545454</v>
      </c>
      <c r="AH8" s="76">
        <v>0.5293181818181818</v>
      </c>
      <c r="AI8" s="76">
        <v>0.52909090909090906</v>
      </c>
      <c r="AJ8" s="76">
        <v>0.52886363636363642</v>
      </c>
      <c r="AK8" s="76">
        <v>0.52863636363636368</v>
      </c>
      <c r="AL8" s="76">
        <v>0.52840909090909094</v>
      </c>
      <c r="AM8" s="76">
        <v>0.5281818181818182</v>
      </c>
      <c r="AN8" s="76">
        <v>0.52795454545454545</v>
      </c>
      <c r="AO8" s="76">
        <v>0.52772727272727271</v>
      </c>
      <c r="AP8" s="76">
        <v>0.52749999999999997</v>
      </c>
      <c r="AQ8" s="46"/>
      <c r="AR8" s="47"/>
    </row>
    <row r="9" spans="1:44" s="86" customFormat="1" x14ac:dyDescent="0.2">
      <c r="B9" s="91" t="s">
        <v>11</v>
      </c>
      <c r="C9" s="87">
        <f>C7*AE9</f>
        <v>1662.3750000000005</v>
      </c>
      <c r="D9" s="87">
        <f t="shared" ref="D9:N9" si="3">D7*AF9</f>
        <v>1690.8452063636366</v>
      </c>
      <c r="E9" s="87">
        <f t="shared" si="3"/>
        <v>1730.9781109090914</v>
      </c>
      <c r="F9" s="87">
        <f t="shared" si="3"/>
        <v>1782.6089154545457</v>
      </c>
      <c r="G9" s="87">
        <f t="shared" si="3"/>
        <v>1857.4421600000003</v>
      </c>
      <c r="H9" s="87">
        <f t="shared" si="3"/>
        <v>1949.2425000000003</v>
      </c>
      <c r="I9" s="87">
        <f t="shared" si="3"/>
        <v>2057.7651818181821</v>
      </c>
      <c r="J9" s="87">
        <f t="shared" si="3"/>
        <v>2200.3222618181821</v>
      </c>
      <c r="K9" s="87">
        <f t="shared" si="3"/>
        <v>2382.2495018181821</v>
      </c>
      <c r="L9" s="87">
        <f t="shared" si="3"/>
        <v>2605.8769513636366</v>
      </c>
      <c r="M9" s="87">
        <f t="shared" si="3"/>
        <v>2878.0986727272734</v>
      </c>
      <c r="N9" s="87">
        <f t="shared" si="3"/>
        <v>3207.9097533000008</v>
      </c>
      <c r="O9" s="105">
        <f t="shared" si="2"/>
        <v>7.3762020248086868E-2</v>
      </c>
      <c r="P9" s="88"/>
      <c r="Q9" s="91" t="s">
        <v>11</v>
      </c>
      <c r="R9" s="89">
        <f t="shared" si="0"/>
        <v>1.7126223844581512</v>
      </c>
      <c r="S9" s="89">
        <f t="shared" si="0"/>
        <v>2.3735410192731621</v>
      </c>
      <c r="T9" s="89">
        <f t="shared" si="0"/>
        <v>2.9827531740617141</v>
      </c>
      <c r="U9" s="89">
        <f t="shared" si="0"/>
        <v>4.197961981266829</v>
      </c>
      <c r="V9" s="89">
        <f t="shared" si="0"/>
        <v>4.9422987147012876</v>
      </c>
      <c r="W9" s="89">
        <f t="shared" si="0"/>
        <v>5.5674284660929496</v>
      </c>
      <c r="X9" s="89">
        <f t="shared" si="0"/>
        <v>6.9277622762593749</v>
      </c>
      <c r="Y9" s="89">
        <f t="shared" si="0"/>
        <v>8.268208850901182</v>
      </c>
      <c r="Z9" s="89">
        <f t="shared" si="0"/>
        <v>9.3872387999148543</v>
      </c>
      <c r="AA9" s="89">
        <f t="shared" si="0"/>
        <v>10.446453399159349</v>
      </c>
      <c r="AB9" s="89">
        <f t="shared" si="0"/>
        <v>11.459338892651649</v>
      </c>
      <c r="AC9" s="135">
        <v>0.01</v>
      </c>
      <c r="AD9" s="91" t="s">
        <v>11</v>
      </c>
      <c r="AE9" s="85">
        <v>0.19500000000000001</v>
      </c>
      <c r="AF9" s="85">
        <v>0.19441818181818182</v>
      </c>
      <c r="AG9" s="85">
        <v>0.19383636363636364</v>
      </c>
      <c r="AH9" s="85">
        <v>0.19325454545454546</v>
      </c>
      <c r="AI9" s="85">
        <v>0.19267272727272727</v>
      </c>
      <c r="AJ9" s="85">
        <v>0.19209090909090909</v>
      </c>
      <c r="AK9" s="85">
        <v>0.19150909090909091</v>
      </c>
      <c r="AL9" s="85">
        <v>0.19092727272727272</v>
      </c>
      <c r="AM9" s="85">
        <v>0.19034545454545454</v>
      </c>
      <c r="AN9" s="85">
        <v>0.18976363636363636</v>
      </c>
      <c r="AO9" s="85">
        <v>0.18918181818181817</v>
      </c>
      <c r="AP9" s="85">
        <v>0.18859999999999999</v>
      </c>
      <c r="AQ9" s="124"/>
      <c r="AR9" s="124"/>
    </row>
    <row r="10" spans="1:44" s="86" customFormat="1" x14ac:dyDescent="0.2">
      <c r="B10" s="91" t="s">
        <v>12</v>
      </c>
      <c r="C10" s="79">
        <f>C7*AE10</f>
        <v>929.22500000000025</v>
      </c>
      <c r="D10" s="79">
        <f t="shared" ref="D10:N10" si="4">D7*AF10</f>
        <v>949.54881363636366</v>
      </c>
      <c r="E10" s="79">
        <f t="shared" si="4"/>
        <v>976.62820909090931</v>
      </c>
      <c r="F10" s="79">
        <f t="shared" si="4"/>
        <v>1010.4637045454547</v>
      </c>
      <c r="G10" s="79">
        <f t="shared" si="4"/>
        <v>1057.8148000000001</v>
      </c>
      <c r="H10" s="79">
        <f t="shared" si="4"/>
        <v>1115.3025</v>
      </c>
      <c r="I10" s="79">
        <f t="shared" si="4"/>
        <v>1182.9268181818184</v>
      </c>
      <c r="J10" s="79">
        <f t="shared" si="4"/>
        <v>1270.8270181818184</v>
      </c>
      <c r="K10" s="79">
        <f t="shared" si="4"/>
        <v>1382.3828181818185</v>
      </c>
      <c r="L10" s="79">
        <f t="shared" si="4"/>
        <v>1519.2834386363638</v>
      </c>
      <c r="M10" s="79">
        <f t="shared" si="4"/>
        <v>1685.9213272727277</v>
      </c>
      <c r="N10" s="79">
        <f t="shared" si="4"/>
        <v>1888.0062705000005</v>
      </c>
      <c r="O10" s="105">
        <f t="shared" si="2"/>
        <v>7.8099090153514128E-2</v>
      </c>
      <c r="P10" s="88"/>
      <c r="Q10" s="91" t="s">
        <v>12</v>
      </c>
      <c r="R10" s="89">
        <f t="shared" si="0"/>
        <v>2.1871789541137332</v>
      </c>
      <c r="S10" s="89">
        <f t="shared" ref="S10:S18" si="5">(E10/D10-1)*100</f>
        <v>2.8518171015182725</v>
      </c>
      <c r="T10" s="89">
        <f t="shared" ref="T10:T18" si="6">(F10/E10-1)*100</f>
        <v>3.4645216203657458</v>
      </c>
      <c r="U10" s="89">
        <f t="shared" ref="U10:U18" si="7">(G10/F10-1)*100</f>
        <v>4.6860758324660301</v>
      </c>
      <c r="V10" s="89">
        <f t="shared" ref="V10:V18" si="8">(H10/G10-1)*100</f>
        <v>5.4345713446247723</v>
      </c>
      <c r="W10" s="89">
        <f t="shared" ref="W10:W18" si="9">(I10/H10-1)*100</f>
        <v>6.0633162914831118</v>
      </c>
      <c r="X10" s="89">
        <f t="shared" ref="X10:X18" si="10">(J10/I10-1)*100</f>
        <v>7.430738626342448</v>
      </c>
      <c r="Y10" s="89">
        <f t="shared" ref="Y10:Y18" si="11">(K10/J10-1)*100</f>
        <v>8.7782049330052736</v>
      </c>
      <c r="Z10" s="89">
        <f t="shared" ref="Z10:Z18" si="12">(L10/K10-1)*100</f>
        <v>9.9032350991315141</v>
      </c>
      <c r="AA10" s="89">
        <f t="shared" ref="AA10:AA18" si="13">(M10/L10-1)*100</f>
        <v>10.968189634577353</v>
      </c>
      <c r="AB10" s="89">
        <f t="shared" ref="AB10:AB18" si="14">(N10/M10-1)*100</f>
        <v>11.986617640941798</v>
      </c>
      <c r="AC10" s="112">
        <v>0.03</v>
      </c>
      <c r="AD10" s="91" t="s">
        <v>12</v>
      </c>
      <c r="AE10" s="82">
        <v>0.109</v>
      </c>
      <c r="AF10" s="82">
        <v>0.10918181818181817</v>
      </c>
      <c r="AG10" s="82">
        <v>0.10936363636363636</v>
      </c>
      <c r="AH10" s="82">
        <v>0.10954545454545454</v>
      </c>
      <c r="AI10" s="82">
        <v>0.10972727272727273</v>
      </c>
      <c r="AJ10" s="82">
        <v>0.1099090909090909</v>
      </c>
      <c r="AK10" s="82">
        <v>0.11009090909090909</v>
      </c>
      <c r="AL10" s="82">
        <v>0.11027272727272727</v>
      </c>
      <c r="AM10" s="82">
        <v>0.11045454545454546</v>
      </c>
      <c r="AN10" s="82">
        <v>0.11063636363636363</v>
      </c>
      <c r="AO10" s="82">
        <v>0.11081818181818182</v>
      </c>
      <c r="AP10" s="82">
        <v>0.111</v>
      </c>
      <c r="AQ10" s="124"/>
      <c r="AR10" s="124"/>
    </row>
    <row r="11" spans="1:44" s="86" customFormat="1" x14ac:dyDescent="0.2">
      <c r="B11" s="90" t="s">
        <v>14</v>
      </c>
      <c r="C11" s="79">
        <f t="shared" ref="C11:N11" si="15">C7*AE11</f>
        <v>1150.8750000000002</v>
      </c>
      <c r="D11" s="79">
        <f t="shared" si="15"/>
        <v>1175.2741977272731</v>
      </c>
      <c r="E11" s="79">
        <f t="shared" si="15"/>
        <v>1207.9989818181823</v>
      </c>
      <c r="F11" s="79">
        <f t="shared" si="15"/>
        <v>1249.0337659090912</v>
      </c>
      <c r="G11" s="79">
        <f t="shared" si="15"/>
        <v>1306.7124000000003</v>
      </c>
      <c r="H11" s="79">
        <f t="shared" si="15"/>
        <v>1376.8312500000004</v>
      </c>
      <c r="I11" s="79">
        <f t="shared" si="15"/>
        <v>1459.366363636364</v>
      </c>
      <c r="J11" s="79">
        <f t="shared" si="15"/>
        <v>1566.794563636364</v>
      </c>
      <c r="K11" s="79">
        <f t="shared" si="15"/>
        <v>1703.2321636363638</v>
      </c>
      <c r="L11" s="79">
        <f t="shared" si="15"/>
        <v>1870.7035602272733</v>
      </c>
      <c r="M11" s="79">
        <f t="shared" si="15"/>
        <v>2074.5545454545463</v>
      </c>
      <c r="N11" s="79">
        <f t="shared" si="15"/>
        <v>2321.7374407500006</v>
      </c>
      <c r="O11" s="105">
        <f t="shared" si="2"/>
        <v>7.7504054191018135E-2</v>
      </c>
      <c r="P11" s="88"/>
      <c r="Q11" s="90" t="s">
        <v>14</v>
      </c>
      <c r="R11" s="89">
        <f t="shared" si="0"/>
        <v>2.120056281287952</v>
      </c>
      <c r="S11" s="89">
        <f t="shared" si="5"/>
        <v>2.7844382318774619</v>
      </c>
      <c r="T11" s="89">
        <f t="shared" si="6"/>
        <v>3.3969220759728413</v>
      </c>
      <c r="U11" s="89">
        <f t="shared" si="7"/>
        <v>4.617860274492136</v>
      </c>
      <c r="V11" s="89">
        <f t="shared" si="8"/>
        <v>5.3660507086333631</v>
      </c>
      <c r="W11" s="89">
        <f t="shared" si="9"/>
        <v>5.994570041634617</v>
      </c>
      <c r="X11" s="89">
        <f t="shared" si="10"/>
        <v>7.3612906722282379</v>
      </c>
      <c r="Y11" s="89">
        <f t="shared" si="11"/>
        <v>8.7080720833842218</v>
      </c>
      <c r="Z11" s="89">
        <f t="shared" si="12"/>
        <v>9.8325642367721464</v>
      </c>
      <c r="AA11" s="89">
        <f t="shared" si="13"/>
        <v>10.897022358930396</v>
      </c>
      <c r="AB11" s="89">
        <f t="shared" si="14"/>
        <v>11.914986561189455</v>
      </c>
      <c r="AC11" s="112">
        <v>0.02</v>
      </c>
      <c r="AD11" s="90" t="s">
        <v>14</v>
      </c>
      <c r="AE11" s="82">
        <v>0.13500000000000001</v>
      </c>
      <c r="AF11" s="82">
        <v>0.13513636363636367</v>
      </c>
      <c r="AG11" s="82">
        <v>0.13527272727272729</v>
      </c>
      <c r="AH11" s="82">
        <v>0.13540909090909092</v>
      </c>
      <c r="AI11" s="82">
        <v>0.13554545454545455</v>
      </c>
      <c r="AJ11" s="82">
        <v>0.13568181818181821</v>
      </c>
      <c r="AK11" s="82">
        <v>0.13581818181818184</v>
      </c>
      <c r="AL11" s="82">
        <v>0.13595454545454547</v>
      </c>
      <c r="AM11" s="82">
        <v>0.1360909090909091</v>
      </c>
      <c r="AN11" s="82">
        <v>0.13622727272727275</v>
      </c>
      <c r="AO11" s="82">
        <v>0.13636363636363638</v>
      </c>
      <c r="AP11" s="82">
        <v>0.13650000000000001</v>
      </c>
      <c r="AQ11" s="124"/>
      <c r="AR11" s="124"/>
    </row>
    <row r="12" spans="1:44" s="86" customFormat="1" x14ac:dyDescent="0.2">
      <c r="B12" s="91" t="s">
        <v>13</v>
      </c>
      <c r="C12" s="79">
        <f t="shared" ref="C12:N12" si="16">C7*AE12</f>
        <v>775.77500000000032</v>
      </c>
      <c r="D12" s="79">
        <f t="shared" si="16"/>
        <v>791.73870272727277</v>
      </c>
      <c r="E12" s="79">
        <f t="shared" si="16"/>
        <v>813.28856181818207</v>
      </c>
      <c r="F12" s="79">
        <f t="shared" si="16"/>
        <v>840.40392090909108</v>
      </c>
      <c r="G12" s="79">
        <f t="shared" si="16"/>
        <v>878.6786400000002</v>
      </c>
      <c r="H12" s="79">
        <f t="shared" si="16"/>
        <v>925.26750000000015</v>
      </c>
      <c r="I12" s="79">
        <f t="shared" si="16"/>
        <v>980.1393636363639</v>
      </c>
      <c r="J12" s="79">
        <f t="shared" si="16"/>
        <v>1051.6538836363638</v>
      </c>
      <c r="K12" s="79">
        <f t="shared" si="16"/>
        <v>1142.542243636364</v>
      </c>
      <c r="L12" s="79">
        <f t="shared" si="16"/>
        <v>1254.1266577272729</v>
      </c>
      <c r="M12" s="79">
        <f t="shared" si="16"/>
        <v>1389.9515454545458</v>
      </c>
      <c r="N12" s="79">
        <f t="shared" si="16"/>
        <v>1554.6285867000006</v>
      </c>
      <c r="O12" s="105">
        <f t="shared" si="2"/>
        <v>7.6946654891421273E-2</v>
      </c>
      <c r="P12" s="88"/>
      <c r="Q12" s="91" t="s">
        <v>13</v>
      </c>
      <c r="R12" s="89">
        <f t="shared" si="0"/>
        <v>2.0577748351354952</v>
      </c>
      <c r="S12" s="89">
        <f t="shared" si="5"/>
        <v>2.7218397959676954</v>
      </c>
      <c r="T12" s="89">
        <f t="shared" si="6"/>
        <v>3.3340391546009318</v>
      </c>
      <c r="U12" s="89">
        <f t="shared" si="7"/>
        <v>4.5543241932410439</v>
      </c>
      <c r="V12" s="89">
        <f t="shared" si="8"/>
        <v>5.3021500556790446</v>
      </c>
      <c r="W12" s="89">
        <f t="shared" si="9"/>
        <v>5.9303783647824737</v>
      </c>
      <c r="X12" s="89">
        <f t="shared" si="10"/>
        <v>7.2963624004118932</v>
      </c>
      <c r="Y12" s="89">
        <f t="shared" si="11"/>
        <v>8.6424213721086893</v>
      </c>
      <c r="Z12" s="89">
        <f t="shared" si="12"/>
        <v>9.7663272156808478</v>
      </c>
      <c r="AA12" s="89">
        <f t="shared" si="13"/>
        <v>10.830236873635602</v>
      </c>
      <c r="AB12" s="89">
        <f t="shared" si="14"/>
        <v>11.847682157265528</v>
      </c>
      <c r="AC12" s="112">
        <v>0.04</v>
      </c>
      <c r="AD12" s="91" t="s">
        <v>13</v>
      </c>
      <c r="AE12" s="82">
        <v>9.1000000000000011E-2</v>
      </c>
      <c r="AF12" s="82">
        <v>9.1036363636363637E-2</v>
      </c>
      <c r="AG12" s="82">
        <v>9.1072727272727277E-2</v>
      </c>
      <c r="AH12" s="82">
        <v>9.1109090909090917E-2</v>
      </c>
      <c r="AI12" s="82">
        <v>9.1145454545454557E-2</v>
      </c>
      <c r="AJ12" s="82">
        <v>9.1181818181818183E-2</v>
      </c>
      <c r="AK12" s="82">
        <v>9.1218181818181823E-2</v>
      </c>
      <c r="AL12" s="82">
        <v>9.1254545454545463E-2</v>
      </c>
      <c r="AM12" s="82">
        <v>9.1290909090909103E-2</v>
      </c>
      <c r="AN12" s="82">
        <v>9.1327272727272729E-2</v>
      </c>
      <c r="AO12" s="82">
        <v>9.1363636363636369E-2</v>
      </c>
      <c r="AP12" s="82">
        <v>9.1400000000000009E-2</v>
      </c>
      <c r="AQ12" s="124"/>
      <c r="AR12" s="124"/>
    </row>
    <row r="13" spans="1:44" s="8" customFormat="1" x14ac:dyDescent="0.2">
      <c r="B13" s="5" t="s">
        <v>15</v>
      </c>
      <c r="C13" s="21">
        <f t="shared" ref="C13:N13" si="17">C7*AE13</f>
        <v>4006.7500000000005</v>
      </c>
      <c r="D13" s="21">
        <f t="shared" si="17"/>
        <v>4089.5430795454545</v>
      </c>
      <c r="E13" s="21">
        <f t="shared" si="17"/>
        <v>4201.2061363636367</v>
      </c>
      <c r="F13" s="21">
        <f t="shared" si="17"/>
        <v>4341.639693181819</v>
      </c>
      <c r="G13" s="21">
        <f t="shared" si="17"/>
        <v>4539.7520000000004</v>
      </c>
      <c r="H13" s="21">
        <f t="shared" si="17"/>
        <v>4780.8562499999998</v>
      </c>
      <c r="I13" s="21">
        <f t="shared" si="17"/>
        <v>5064.8022727272728</v>
      </c>
      <c r="J13" s="21">
        <f t="shared" si="17"/>
        <v>5434.8022727272728</v>
      </c>
      <c r="K13" s="21">
        <f t="shared" si="17"/>
        <v>5904.9932727272735</v>
      </c>
      <c r="L13" s="21">
        <f t="shared" si="17"/>
        <v>6482.234392045455</v>
      </c>
      <c r="M13" s="21">
        <f t="shared" si="17"/>
        <v>7184.8739090909103</v>
      </c>
      <c r="N13" s="21">
        <f t="shared" si="17"/>
        <v>8036.7834487500013</v>
      </c>
      <c r="O13" s="19">
        <f t="shared" si="2"/>
        <v>7.7023615037631554E-2</v>
      </c>
      <c r="P13" s="51"/>
      <c r="Q13" s="5" t="s">
        <v>15</v>
      </c>
      <c r="R13" s="53">
        <f t="shared" si="0"/>
        <v>2.0663400398191589</v>
      </c>
      <c r="S13" s="53">
        <f t="shared" si="5"/>
        <v>2.7304531251103326</v>
      </c>
      <c r="T13" s="53">
        <f t="shared" si="6"/>
        <v>3.3426961748593165</v>
      </c>
      <c r="U13" s="53">
        <f t="shared" si="7"/>
        <v>4.5630757229647712</v>
      </c>
      <c r="V13" s="53">
        <f t="shared" si="8"/>
        <v>5.310956413478074</v>
      </c>
      <c r="W13" s="53">
        <f t="shared" si="9"/>
        <v>5.9392294576368521</v>
      </c>
      <c r="X13" s="53">
        <f t="shared" si="10"/>
        <v>7.3053197356264032</v>
      </c>
      <c r="Y13" s="53">
        <f t="shared" si="11"/>
        <v>8.6514830973611687</v>
      </c>
      <c r="Z13" s="53">
        <f t="shared" si="12"/>
        <v>9.7754746306692564</v>
      </c>
      <c r="AA13" s="53">
        <f t="shared" si="13"/>
        <v>10.839464828789369</v>
      </c>
      <c r="AB13" s="53">
        <f t="shared" si="14"/>
        <v>11.856986642189815</v>
      </c>
      <c r="AC13" s="24">
        <v>0.02</v>
      </c>
      <c r="AD13" s="5" t="s">
        <v>15</v>
      </c>
      <c r="AE13" s="4">
        <v>0.47</v>
      </c>
      <c r="AF13" s="4">
        <v>0.47022727272727266</v>
      </c>
      <c r="AG13" s="4">
        <v>0.4704545454545454</v>
      </c>
      <c r="AH13" s="4">
        <v>0.47068181818181815</v>
      </c>
      <c r="AI13" s="4">
        <v>0.47090909090909089</v>
      </c>
      <c r="AJ13" s="4">
        <v>0.47113636363636358</v>
      </c>
      <c r="AK13" s="4">
        <v>0.47136363636363632</v>
      </c>
      <c r="AL13" s="4">
        <v>0.47159090909090906</v>
      </c>
      <c r="AM13" s="4">
        <v>0.4718181818181818</v>
      </c>
      <c r="AN13" s="4">
        <v>0.47204545454545449</v>
      </c>
      <c r="AO13" s="4">
        <v>0.47227272727272723</v>
      </c>
      <c r="AP13" s="4">
        <v>0.47249999999999998</v>
      </c>
      <c r="AQ13" s="50"/>
      <c r="AR13" s="50"/>
    </row>
    <row r="14" spans="1:44" s="86" customFormat="1" x14ac:dyDescent="0.2">
      <c r="B14" s="91" t="s">
        <v>16</v>
      </c>
      <c r="C14" s="79">
        <f t="shared" ref="C14:N14" si="18">C7*AE14</f>
        <v>959.06250000000023</v>
      </c>
      <c r="D14" s="79">
        <f t="shared" si="18"/>
        <v>979.11844363636374</v>
      </c>
      <c r="E14" s="79">
        <f t="shared" si="18"/>
        <v>1006.0975390909094</v>
      </c>
      <c r="F14" s="79">
        <f t="shared" si="18"/>
        <v>1039.9809845454547</v>
      </c>
      <c r="G14" s="79">
        <f t="shared" si="18"/>
        <v>1087.7000400000002</v>
      </c>
      <c r="H14" s="79">
        <f t="shared" si="18"/>
        <v>1145.7450000000001</v>
      </c>
      <c r="I14" s="79">
        <f t="shared" si="18"/>
        <v>1214.0873181818183</v>
      </c>
      <c r="J14" s="79">
        <f t="shared" si="18"/>
        <v>1303.0953381818183</v>
      </c>
      <c r="K14" s="79">
        <f t="shared" si="18"/>
        <v>1416.1743981818183</v>
      </c>
      <c r="L14" s="79">
        <f t="shared" si="18"/>
        <v>1554.9872236363638</v>
      </c>
      <c r="M14" s="79">
        <f t="shared" si="18"/>
        <v>1723.9548272727277</v>
      </c>
      <c r="N14" s="79">
        <f t="shared" si="18"/>
        <v>1928.8280277000006</v>
      </c>
      <c r="O14" s="105">
        <f t="shared" si="2"/>
        <v>7.7246462916683356E-2</v>
      </c>
      <c r="P14" s="88"/>
      <c r="Q14" s="91" t="s">
        <v>16</v>
      </c>
      <c r="R14" s="89">
        <f t="shared" si="0"/>
        <v>2.0912029858704217</v>
      </c>
      <c r="S14" s="89">
        <f t="shared" si="5"/>
        <v>2.7554475793906574</v>
      </c>
      <c r="T14" s="89">
        <f t="shared" si="6"/>
        <v>3.3678091972237256</v>
      </c>
      <c r="U14" s="89">
        <f t="shared" si="7"/>
        <v>4.5884546125044778</v>
      </c>
      <c r="V14" s="89">
        <f t="shared" si="8"/>
        <v>5.3364859672157428</v>
      </c>
      <c r="W14" s="89">
        <f t="shared" si="9"/>
        <v>5.9648803339153345</v>
      </c>
      <c r="X14" s="89">
        <f t="shared" si="10"/>
        <v>7.331270055048078</v>
      </c>
      <c r="Y14" s="89">
        <f t="shared" si="11"/>
        <v>8.6777273071805272</v>
      </c>
      <c r="Z14" s="89">
        <f t="shared" si="12"/>
        <v>9.8019584051768582</v>
      </c>
      <c r="AA14" s="89">
        <f t="shared" si="13"/>
        <v>10.866173114993849</v>
      </c>
      <c r="AB14" s="89">
        <f t="shared" si="14"/>
        <v>11.883907697940055</v>
      </c>
      <c r="AC14" s="112">
        <v>0.02</v>
      </c>
      <c r="AD14" s="91" t="s">
        <v>16</v>
      </c>
      <c r="AE14" s="85">
        <v>0.1125</v>
      </c>
      <c r="AF14" s="85">
        <v>0.11258181818181819</v>
      </c>
      <c r="AG14" s="85">
        <v>0.11266363636363637</v>
      </c>
      <c r="AH14" s="85">
        <v>0.11274545454545455</v>
      </c>
      <c r="AI14" s="85">
        <v>0.11282727272727273</v>
      </c>
      <c r="AJ14" s="85">
        <v>0.1129090909090909</v>
      </c>
      <c r="AK14" s="85">
        <v>0.11299090909090909</v>
      </c>
      <c r="AL14" s="85">
        <v>0.11307272727272727</v>
      </c>
      <c r="AM14" s="85">
        <v>0.11315454545454545</v>
      </c>
      <c r="AN14" s="85">
        <v>0.11323636363636363</v>
      </c>
      <c r="AO14" s="85">
        <v>0.11331818181818182</v>
      </c>
      <c r="AP14" s="85">
        <v>0.1134</v>
      </c>
      <c r="AQ14" s="124"/>
      <c r="AR14" s="124"/>
    </row>
    <row r="15" spans="1:44" s="86" customFormat="1" x14ac:dyDescent="0.2">
      <c r="B15" s="91" t="s">
        <v>17</v>
      </c>
      <c r="C15" s="79">
        <f t="shared" ref="C15:N15" si="19">C7*AE15</f>
        <v>852.50000000000011</v>
      </c>
      <c r="D15" s="79">
        <f t="shared" si="19"/>
        <v>870.24844227272729</v>
      </c>
      <c r="E15" s="79">
        <f t="shared" si="19"/>
        <v>894.14655818181836</v>
      </c>
      <c r="F15" s="79">
        <f t="shared" si="19"/>
        <v>924.17597409090911</v>
      </c>
      <c r="G15" s="79">
        <f t="shared" si="19"/>
        <v>966.49392</v>
      </c>
      <c r="H15" s="79">
        <f t="shared" si="19"/>
        <v>1017.9787500000001</v>
      </c>
      <c r="I15" s="79">
        <f t="shared" si="19"/>
        <v>1078.6026363636365</v>
      </c>
      <c r="J15" s="79">
        <f t="shared" si="19"/>
        <v>1157.5735963636364</v>
      </c>
      <c r="K15" s="79">
        <f t="shared" si="19"/>
        <v>1257.9114763636364</v>
      </c>
      <c r="L15" s="79">
        <f t="shared" si="19"/>
        <v>1381.0873197727274</v>
      </c>
      <c r="M15" s="79">
        <f t="shared" si="19"/>
        <v>1531.0212545454547</v>
      </c>
      <c r="N15" s="79">
        <f t="shared" si="19"/>
        <v>1712.8128958500001</v>
      </c>
      <c r="O15" s="105">
        <f t="shared" si="2"/>
        <v>7.7163432763785789E-2</v>
      </c>
      <c r="P15" s="88"/>
      <c r="Q15" s="91" t="s">
        <v>17</v>
      </c>
      <c r="R15" s="89">
        <f t="shared" si="0"/>
        <v>2.0819287123433616</v>
      </c>
      <c r="S15" s="89">
        <f t="shared" si="5"/>
        <v>2.7461256749485408</v>
      </c>
      <c r="T15" s="89">
        <f t="shared" si="6"/>
        <v>3.3584445004355201</v>
      </c>
      <c r="U15" s="89">
        <f t="shared" si="7"/>
        <v>4.5789922152778439</v>
      </c>
      <c r="V15" s="89">
        <f t="shared" si="8"/>
        <v>5.3269688442530549</v>
      </c>
      <c r="W15" s="89">
        <f t="shared" si="9"/>
        <v>5.9553194370350448</v>
      </c>
      <c r="X15" s="89">
        <f t="shared" si="10"/>
        <v>7.3215990150218735</v>
      </c>
      <c r="Y15" s="89">
        <f t="shared" si="11"/>
        <v>8.6679482250803019</v>
      </c>
      <c r="Z15" s="89">
        <f t="shared" si="12"/>
        <v>9.7920915520356857</v>
      </c>
      <c r="AA15" s="89">
        <f t="shared" si="13"/>
        <v>10.856224123279956</v>
      </c>
      <c r="AB15" s="89">
        <f t="shared" si="14"/>
        <v>11.873880964410111</v>
      </c>
      <c r="AC15" s="112">
        <v>0.03</v>
      </c>
      <c r="AD15" s="91" t="s">
        <v>17</v>
      </c>
      <c r="AE15" s="82">
        <v>9.9999999999999992E-2</v>
      </c>
      <c r="AF15" s="82">
        <v>0.10006363636363635</v>
      </c>
      <c r="AG15" s="82">
        <v>0.10012727272727272</v>
      </c>
      <c r="AH15" s="82">
        <v>0.10019090909090908</v>
      </c>
      <c r="AI15" s="82">
        <v>0.10025454545454544</v>
      </c>
      <c r="AJ15" s="82">
        <v>0.10031818181818181</v>
      </c>
      <c r="AK15" s="82">
        <v>0.10038181818181817</v>
      </c>
      <c r="AL15" s="82">
        <v>0.10044545454545453</v>
      </c>
      <c r="AM15" s="82">
        <v>0.1005090909090909</v>
      </c>
      <c r="AN15" s="82">
        <v>0.10057272727272726</v>
      </c>
      <c r="AO15" s="82">
        <v>0.10063636363636362</v>
      </c>
      <c r="AP15" s="82">
        <v>0.10069999999999998</v>
      </c>
      <c r="AQ15" s="124"/>
      <c r="AR15" s="124"/>
    </row>
    <row r="16" spans="1:44" s="86" customFormat="1" x14ac:dyDescent="0.2">
      <c r="B16" s="91" t="s">
        <v>18</v>
      </c>
      <c r="C16" s="79">
        <f t="shared" ref="C16:N16" si="20">C7*AE16</f>
        <v>1121.0375000000004</v>
      </c>
      <c r="D16" s="79">
        <f t="shared" si="20"/>
        <v>1142.4629772727271</v>
      </c>
      <c r="E16" s="79">
        <f t="shared" si="20"/>
        <v>1171.8726681818184</v>
      </c>
      <c r="F16" s="79">
        <f t="shared" si="20"/>
        <v>1209.2022090909093</v>
      </c>
      <c r="G16" s="79">
        <f t="shared" si="20"/>
        <v>1262.4542000000004</v>
      </c>
      <c r="H16" s="79">
        <f t="shared" si="20"/>
        <v>1327.4775000000002</v>
      </c>
      <c r="I16" s="79">
        <f t="shared" si="20"/>
        <v>1404.1761363636365</v>
      </c>
      <c r="J16" s="79">
        <f t="shared" si="20"/>
        <v>1504.4580363636367</v>
      </c>
      <c r="K16" s="79">
        <f t="shared" si="20"/>
        <v>1632.1219363636367</v>
      </c>
      <c r="L16" s="79">
        <f t="shared" si="20"/>
        <v>1788.9344022727273</v>
      </c>
      <c r="M16" s="79">
        <f t="shared" si="20"/>
        <v>1979.8165545454549</v>
      </c>
      <c r="N16" s="79">
        <f t="shared" si="20"/>
        <v>2211.1785150000005</v>
      </c>
      <c r="O16" s="105">
        <f t="shared" si="2"/>
        <v>7.5614535353210943E-2</v>
      </c>
      <c r="P16" s="88"/>
      <c r="Q16" s="91" t="s">
        <v>18</v>
      </c>
      <c r="R16" s="89">
        <f t="shared" si="0"/>
        <v>1.911218605330034</v>
      </c>
      <c r="S16" s="89">
        <f t="shared" si="5"/>
        <v>2.5742357953075778</v>
      </c>
      <c r="T16" s="89">
        <f t="shared" si="6"/>
        <v>3.185460496062964</v>
      </c>
      <c r="U16" s="89">
        <f t="shared" si="7"/>
        <v>4.4038946099119736</v>
      </c>
      <c r="V16" s="89">
        <f t="shared" si="8"/>
        <v>5.1505472436148336</v>
      </c>
      <c r="W16" s="89">
        <f t="shared" si="9"/>
        <v>5.7777729839968206</v>
      </c>
      <c r="X16" s="89">
        <f t="shared" si="10"/>
        <v>7.141689521921224</v>
      </c>
      <c r="Y16" s="89">
        <f t="shared" si="11"/>
        <v>8.4857069399270948</v>
      </c>
      <c r="Z16" s="89">
        <f t="shared" si="12"/>
        <v>9.6078891175538352</v>
      </c>
      <c r="AA16" s="89">
        <f t="shared" si="13"/>
        <v>10.670159399373391</v>
      </c>
      <c r="AB16" s="89">
        <f t="shared" si="14"/>
        <v>11.68603019928096</v>
      </c>
      <c r="AC16" s="135">
        <v>0.01</v>
      </c>
      <c r="AD16" s="91" t="s">
        <v>18</v>
      </c>
      <c r="AE16" s="159">
        <v>0.13150000000000001</v>
      </c>
      <c r="AF16" s="159">
        <v>0.13136363636363635</v>
      </c>
      <c r="AG16" s="159">
        <v>0.13122727272727272</v>
      </c>
      <c r="AH16" s="159">
        <v>0.13109090909090909</v>
      </c>
      <c r="AI16" s="159">
        <v>0.13095454545454546</v>
      </c>
      <c r="AJ16" s="159">
        <v>0.13081818181818181</v>
      </c>
      <c r="AK16" s="159">
        <v>0.13068181818181818</v>
      </c>
      <c r="AL16" s="159">
        <v>0.13054545454545455</v>
      </c>
      <c r="AM16" s="159">
        <v>0.13040909090909092</v>
      </c>
      <c r="AN16" s="159">
        <v>0.13027272727272726</v>
      </c>
      <c r="AO16" s="159">
        <v>0.13013636363636363</v>
      </c>
      <c r="AP16" s="159">
        <v>0.13</v>
      </c>
      <c r="AQ16" s="124"/>
      <c r="AR16" s="124"/>
    </row>
    <row r="17" spans="2:44" s="86" customFormat="1" x14ac:dyDescent="0.2">
      <c r="B17" s="91" t="s">
        <v>19</v>
      </c>
      <c r="C17" s="79">
        <f t="shared" ref="C17:N17" si="21">C7*AE17</f>
        <v>639.37500000000011</v>
      </c>
      <c r="D17" s="79">
        <f t="shared" si="21"/>
        <v>653.53626090909097</v>
      </c>
      <c r="E17" s="79">
        <f t="shared" si="21"/>
        <v>672.35534727272739</v>
      </c>
      <c r="F17" s="79">
        <f t="shared" si="21"/>
        <v>695.83633363636375</v>
      </c>
      <c r="G17" s="79">
        <f t="shared" si="21"/>
        <v>728.63896000000011</v>
      </c>
      <c r="H17" s="79">
        <f t="shared" si="21"/>
        <v>768.44250000000011</v>
      </c>
      <c r="I17" s="79">
        <f t="shared" si="21"/>
        <v>815.25245454545473</v>
      </c>
      <c r="J17" s="79">
        <f t="shared" si="21"/>
        <v>876.06393454545469</v>
      </c>
      <c r="K17" s="79">
        <f t="shared" si="21"/>
        <v>953.21837454545471</v>
      </c>
      <c r="L17" s="79">
        <f t="shared" si="21"/>
        <v>1047.8936059090911</v>
      </c>
      <c r="M17" s="79">
        <f t="shared" si="21"/>
        <v>1163.1335818181822</v>
      </c>
      <c r="N17" s="79">
        <f t="shared" si="21"/>
        <v>1302.8944173000004</v>
      </c>
      <c r="O17" s="105">
        <f t="shared" si="2"/>
        <v>7.8342781004418161E-2</v>
      </c>
      <c r="P17" s="88"/>
      <c r="Q17" s="91" t="s">
        <v>19</v>
      </c>
      <c r="R17" s="89">
        <f t="shared" si="0"/>
        <v>2.2148599662312085</v>
      </c>
      <c r="S17" s="89">
        <f t="shared" si="5"/>
        <v>2.879577995788396</v>
      </c>
      <c r="T17" s="89">
        <f t="shared" si="6"/>
        <v>3.492347678780594</v>
      </c>
      <c r="U17" s="89">
        <f t="shared" si="7"/>
        <v>4.7141295701265573</v>
      </c>
      <c r="V17" s="89">
        <f t="shared" si="8"/>
        <v>5.4627246393742057</v>
      </c>
      <c r="W17" s="89">
        <f t="shared" si="9"/>
        <v>6.0915363928276456</v>
      </c>
      <c r="X17" s="89">
        <f t="shared" si="10"/>
        <v>7.4592207188024284</v>
      </c>
      <c r="Y17" s="89">
        <f t="shared" si="11"/>
        <v>8.8069417034079223</v>
      </c>
      <c r="Z17" s="89">
        <f t="shared" si="12"/>
        <v>9.9321660064287656</v>
      </c>
      <c r="AA17" s="89">
        <f t="shared" si="13"/>
        <v>10.9972973648518</v>
      </c>
      <c r="AB17" s="89">
        <f t="shared" si="14"/>
        <v>12.015888601836044</v>
      </c>
      <c r="AC17" s="112">
        <v>0.04</v>
      </c>
      <c r="AD17" s="91" t="s">
        <v>19</v>
      </c>
      <c r="AE17" s="82">
        <v>7.4999999999999997E-2</v>
      </c>
      <c r="AF17" s="82">
        <v>7.5145454545454543E-2</v>
      </c>
      <c r="AG17" s="82">
        <v>7.5290909090909089E-2</v>
      </c>
      <c r="AH17" s="82">
        <v>7.5436363636363635E-2</v>
      </c>
      <c r="AI17" s="82">
        <v>7.5581818181818181E-2</v>
      </c>
      <c r="AJ17" s="82">
        <v>7.5727272727272726E-2</v>
      </c>
      <c r="AK17" s="82">
        <v>7.5872727272727272E-2</v>
      </c>
      <c r="AL17" s="82">
        <v>7.6018181818181818E-2</v>
      </c>
      <c r="AM17" s="82">
        <v>7.6163636363636364E-2</v>
      </c>
      <c r="AN17" s="82">
        <v>7.630909090909091E-2</v>
      </c>
      <c r="AO17" s="82">
        <v>7.6454545454545456E-2</v>
      </c>
      <c r="AP17" s="82">
        <v>7.6600000000000001E-2</v>
      </c>
      <c r="AQ17" s="124"/>
      <c r="AR17" s="124"/>
    </row>
    <row r="18" spans="2:44" s="86" customFormat="1" x14ac:dyDescent="0.2">
      <c r="B18" s="91" t="s">
        <v>8</v>
      </c>
      <c r="C18" s="79">
        <f t="shared" ref="C18:N18" si="22">C7*AE18</f>
        <v>434.77500000000009</v>
      </c>
      <c r="D18" s="79">
        <f t="shared" si="22"/>
        <v>444.17695545454546</v>
      </c>
      <c r="E18" s="79">
        <f t="shared" si="22"/>
        <v>456.7340236363637</v>
      </c>
      <c r="F18" s="79">
        <f t="shared" si="22"/>
        <v>472.44419181818188</v>
      </c>
      <c r="G18" s="79">
        <f t="shared" si="22"/>
        <v>494.46488000000005</v>
      </c>
      <c r="H18" s="79">
        <f t="shared" si="22"/>
        <v>521.21250000000009</v>
      </c>
      <c r="I18" s="79">
        <f t="shared" si="22"/>
        <v>552.68372727272731</v>
      </c>
      <c r="J18" s="79">
        <f t="shared" si="22"/>
        <v>593.61136727272731</v>
      </c>
      <c r="K18" s="79">
        <f t="shared" si="22"/>
        <v>645.56708727272735</v>
      </c>
      <c r="L18" s="79">
        <f t="shared" si="22"/>
        <v>709.3318404545455</v>
      </c>
      <c r="M18" s="79">
        <f t="shared" si="22"/>
        <v>786.94769090909108</v>
      </c>
      <c r="N18" s="79">
        <f t="shared" si="22"/>
        <v>881.0695929000002</v>
      </c>
      <c r="O18" s="105">
        <f t="shared" si="2"/>
        <v>7.7880884563911623E-2</v>
      </c>
      <c r="P18" s="88"/>
      <c r="Q18" s="91" t="s">
        <v>8</v>
      </c>
      <c r="R18" s="89">
        <f t="shared" si="0"/>
        <v>2.1624875980783997</v>
      </c>
      <c r="S18" s="89">
        <f t="shared" si="5"/>
        <v>2.8270417966569372</v>
      </c>
      <c r="T18" s="89">
        <f t="shared" si="6"/>
        <v>3.4396754716758515</v>
      </c>
      <c r="U18" s="89">
        <f t="shared" si="7"/>
        <v>4.6610136314878758</v>
      </c>
      <c r="V18" s="89">
        <f t="shared" si="8"/>
        <v>5.4094074386031199</v>
      </c>
      <c r="W18" s="89">
        <f t="shared" si="9"/>
        <v>6.0380799141861008</v>
      </c>
      <c r="X18" s="89">
        <f t="shared" si="10"/>
        <v>7.405255117960774</v>
      </c>
      <c r="Y18" s="89">
        <f t="shared" si="11"/>
        <v>8.7524806404405631</v>
      </c>
      <c r="Z18" s="89">
        <f t="shared" si="12"/>
        <v>9.8773240518192686</v>
      </c>
      <c r="AA18" s="89">
        <f t="shared" si="13"/>
        <v>10.94210720962543</v>
      </c>
      <c r="AB18" s="89">
        <f t="shared" si="14"/>
        <v>11.960375902771681</v>
      </c>
      <c r="AC18" s="112">
        <v>0.05</v>
      </c>
      <c r="AD18" s="91" t="s">
        <v>8</v>
      </c>
      <c r="AE18" s="84">
        <v>5.0999999999999997E-2</v>
      </c>
      <c r="AF18" s="84">
        <v>5.107272727272727E-2</v>
      </c>
      <c r="AG18" s="84">
        <v>5.1145454545454543E-2</v>
      </c>
      <c r="AH18" s="84">
        <v>5.1218181818181815E-2</v>
      </c>
      <c r="AI18" s="84">
        <v>5.1290909090909088E-2</v>
      </c>
      <c r="AJ18" s="84">
        <v>5.1363636363636361E-2</v>
      </c>
      <c r="AK18" s="84">
        <v>5.1436363636363634E-2</v>
      </c>
      <c r="AL18" s="84">
        <v>5.1509090909090907E-2</v>
      </c>
      <c r="AM18" s="84">
        <v>5.158181818181818E-2</v>
      </c>
      <c r="AN18" s="84">
        <v>5.1654545454545453E-2</v>
      </c>
      <c r="AO18" s="84">
        <v>5.1727272727272726E-2</v>
      </c>
      <c r="AP18" s="84">
        <v>5.1799999999999999E-2</v>
      </c>
      <c r="AQ18" s="124"/>
      <c r="AR18" s="124"/>
    </row>
    <row r="19" spans="2:44" s="8" customFormat="1" ht="13.5" customHeight="1" x14ac:dyDescent="0.2">
      <c r="B19" s="5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6"/>
      <c r="P19" s="51"/>
      <c r="Q19" s="5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3"/>
      <c r="AC19" s="25"/>
      <c r="AD19" s="5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50"/>
      <c r="AR19" s="50"/>
    </row>
    <row r="20" spans="2:44" s="8" customFormat="1" x14ac:dyDescent="0.2">
      <c r="B20" s="17" t="s">
        <v>20</v>
      </c>
      <c r="C20" s="49">
        <f t="shared" ref="C20:N20" si="23">C7</f>
        <v>8525.0000000000018</v>
      </c>
      <c r="D20" s="49">
        <f t="shared" si="23"/>
        <v>8696.9500000000007</v>
      </c>
      <c r="E20" s="49">
        <f t="shared" si="23"/>
        <v>8930.1000000000022</v>
      </c>
      <c r="F20" s="49">
        <f t="shared" si="23"/>
        <v>9224.1500000000015</v>
      </c>
      <c r="G20" s="49">
        <f t="shared" si="23"/>
        <v>9640.4000000000015</v>
      </c>
      <c r="H20" s="49">
        <f t="shared" si="23"/>
        <v>10147.500000000002</v>
      </c>
      <c r="I20" s="49">
        <f t="shared" si="23"/>
        <v>10745.000000000002</v>
      </c>
      <c r="J20" s="49">
        <f t="shared" si="23"/>
        <v>11524.400000000001</v>
      </c>
      <c r="K20" s="49">
        <f t="shared" si="23"/>
        <v>12515.400000000001</v>
      </c>
      <c r="L20" s="49">
        <f t="shared" si="23"/>
        <v>13732.225000000002</v>
      </c>
      <c r="M20" s="49">
        <f t="shared" si="23"/>
        <v>15213.400000000003</v>
      </c>
      <c r="N20" s="49">
        <f t="shared" si="23"/>
        <v>17009.065500000004</v>
      </c>
      <c r="O20" s="19">
        <f>((N20/H20)^(1/7)-1)*100%</f>
        <v>7.6579022942979691E-2</v>
      </c>
      <c r="P20" s="51"/>
      <c r="Q20" s="17" t="s">
        <v>20</v>
      </c>
      <c r="R20" s="49">
        <f t="shared" ref="R20:AA27" si="24">(D20/C20-1)*100</f>
        <v>2.0170087976539408</v>
      </c>
      <c r="S20" s="49">
        <f t="shared" si="24"/>
        <v>2.6808248868856577</v>
      </c>
      <c r="T20" s="49">
        <f t="shared" si="24"/>
        <v>3.2927962732780092</v>
      </c>
      <c r="U20" s="49">
        <f t="shared" si="24"/>
        <v>4.512610918079174</v>
      </c>
      <c r="V20" s="49">
        <f t="shared" si="24"/>
        <v>5.2601551802829771</v>
      </c>
      <c r="W20" s="49">
        <f t="shared" si="24"/>
        <v>5.8881497905888036</v>
      </c>
      <c r="X20" s="49">
        <f t="shared" si="24"/>
        <v>7.2536063285248975</v>
      </c>
      <c r="Y20" s="49">
        <f t="shared" si="24"/>
        <v>8.5991461594529852</v>
      </c>
      <c r="Z20" s="49">
        <f t="shared" si="24"/>
        <v>9.7226217300286031</v>
      </c>
      <c r="AA20" s="49">
        <f t="shared" si="24"/>
        <v>10.786125336571462</v>
      </c>
      <c r="AB20" s="53">
        <f t="shared" ref="AB20:AB32" si="25">(N20/M20-1)*100</f>
        <v>11.803183377811678</v>
      </c>
      <c r="AC20" s="25"/>
      <c r="AD20" s="17" t="s">
        <v>20</v>
      </c>
      <c r="AE20" s="20">
        <v>1</v>
      </c>
      <c r="AF20" s="20">
        <v>1</v>
      </c>
      <c r="AG20" s="20">
        <v>1</v>
      </c>
      <c r="AH20" s="20">
        <v>1</v>
      </c>
      <c r="AI20" s="20">
        <v>1</v>
      </c>
      <c r="AJ20" s="20">
        <v>1</v>
      </c>
      <c r="AK20" s="20">
        <v>1</v>
      </c>
      <c r="AL20" s="20">
        <v>1</v>
      </c>
      <c r="AM20" s="20">
        <v>1</v>
      </c>
      <c r="AN20" s="20">
        <v>1</v>
      </c>
      <c r="AO20" s="20">
        <v>1</v>
      </c>
      <c r="AP20" s="20">
        <v>1</v>
      </c>
      <c r="AQ20" s="50"/>
      <c r="AR20" s="50"/>
    </row>
    <row r="21" spans="2:44" s="8" customFormat="1" x14ac:dyDescent="0.2">
      <c r="B21" s="2" t="s">
        <v>21</v>
      </c>
      <c r="C21" s="52">
        <f>C20*AE21</f>
        <v>1420.7300000000005</v>
      </c>
      <c r="D21" s="52">
        <f t="shared" ref="D21:N21" si="26">D20*AF21</f>
        <v>1450.2128187190085</v>
      </c>
      <c r="E21" s="52">
        <f t="shared" si="26"/>
        <v>1489.9392133884301</v>
      </c>
      <c r="F21" s="52">
        <f t="shared" si="26"/>
        <v>1539.8765516942151</v>
      </c>
      <c r="G21" s="52">
        <f t="shared" si="26"/>
        <v>1610.2814254545458</v>
      </c>
      <c r="H21" s="52">
        <f t="shared" si="26"/>
        <v>1695.9491590909095</v>
      </c>
      <c r="I21" s="52">
        <f t="shared" si="26"/>
        <v>1796.8304049586782</v>
      </c>
      <c r="J21" s="52">
        <f t="shared" si="26"/>
        <v>1928.2607031404964</v>
      </c>
      <c r="K21" s="52">
        <f t="shared" si="26"/>
        <v>2095.2641395041323</v>
      </c>
      <c r="L21" s="52">
        <f t="shared" si="26"/>
        <v>2300.2838748553722</v>
      </c>
      <c r="M21" s="52">
        <f t="shared" si="26"/>
        <v>2549.8412783471081</v>
      </c>
      <c r="N21" s="52">
        <f t="shared" si="26"/>
        <v>2852.4202843500011</v>
      </c>
      <c r="O21" s="19">
        <f t="shared" ref="O21:O32" si="27">((N21/H21)^(1/7)-1)*100%</f>
        <v>7.7103013711957713E-2</v>
      </c>
      <c r="P21" s="51"/>
      <c r="Q21" s="2" t="s">
        <v>21</v>
      </c>
      <c r="R21" s="53">
        <f t="shared" si="24"/>
        <v>2.075188017357843</v>
      </c>
      <c r="S21" s="53">
        <f t="shared" si="24"/>
        <v>2.739349298023197</v>
      </c>
      <c r="T21" s="53">
        <f t="shared" si="24"/>
        <v>3.3516359497792747</v>
      </c>
      <c r="U21" s="53">
        <f t="shared" si="24"/>
        <v>4.5721115554925085</v>
      </c>
      <c r="V21" s="53">
        <f t="shared" si="24"/>
        <v>5.3200473086362221</v>
      </c>
      <c r="W21" s="53">
        <f t="shared" si="24"/>
        <v>5.9483649805778915</v>
      </c>
      <c r="X21" s="53">
        <f t="shared" si="24"/>
        <v>7.3145633454950731</v>
      </c>
      <c r="Y21" s="53">
        <f t="shared" si="24"/>
        <v>8.6608328475316085</v>
      </c>
      <c r="Z21" s="53">
        <f t="shared" si="24"/>
        <v>9.7849111950037972</v>
      </c>
      <c r="AA21" s="53">
        <f t="shared" si="24"/>
        <v>10.848982867709168</v>
      </c>
      <c r="AB21" s="53">
        <f t="shared" si="25"/>
        <v>11.866581993646076</v>
      </c>
      <c r="AC21" s="25">
        <v>0.03</v>
      </c>
      <c r="AD21" s="2" t="s">
        <v>21</v>
      </c>
      <c r="AE21" s="145">
        <v>0.16665454545454547</v>
      </c>
      <c r="AF21" s="145">
        <v>0.16674958677685953</v>
      </c>
      <c r="AG21" s="145">
        <v>0.16684462809917355</v>
      </c>
      <c r="AH21" s="145">
        <v>0.16693966942148761</v>
      </c>
      <c r="AI21" s="145">
        <v>0.16703471074380166</v>
      </c>
      <c r="AJ21" s="145">
        <v>0.16712975206611572</v>
      </c>
      <c r="AK21" s="145">
        <v>0.16722479338842977</v>
      </c>
      <c r="AL21" s="145">
        <v>0.16731983471074383</v>
      </c>
      <c r="AM21" s="145">
        <v>0.16741487603305785</v>
      </c>
      <c r="AN21" s="145">
        <v>0.16750991735537191</v>
      </c>
      <c r="AO21" s="145">
        <v>0.16760495867768596</v>
      </c>
      <c r="AP21" s="145">
        <v>0.16770000000000002</v>
      </c>
      <c r="AQ21" s="113"/>
      <c r="AR21" s="113"/>
    </row>
    <row r="22" spans="2:44" s="8" customFormat="1" ht="15" customHeight="1" x14ac:dyDescent="0.2">
      <c r="B22" s="5" t="s">
        <v>22</v>
      </c>
      <c r="C22" s="52">
        <f>C20*AE22</f>
        <v>1073.8400000000004</v>
      </c>
      <c r="D22" s="52">
        <f t="shared" ref="D22:N22" si="28">D20*AF22</f>
        <v>1096.2397661570249</v>
      </c>
      <c r="E22" s="52">
        <f t="shared" si="28"/>
        <v>1126.3882001652896</v>
      </c>
      <c r="F22" s="52">
        <f t="shared" si="28"/>
        <v>1164.263065082645</v>
      </c>
      <c r="G22" s="52">
        <f t="shared" si="28"/>
        <v>1217.6223563636368</v>
      </c>
      <c r="H22" s="52">
        <f t="shared" si="28"/>
        <v>1282.5349772727277</v>
      </c>
      <c r="I22" s="52">
        <f t="shared" si="28"/>
        <v>1358.9672148760335</v>
      </c>
      <c r="J22" s="52">
        <f t="shared" si="28"/>
        <v>1458.5223494214881</v>
      </c>
      <c r="K22" s="52">
        <f t="shared" si="28"/>
        <v>1585.0081785123973</v>
      </c>
      <c r="L22" s="52">
        <f t="shared" si="28"/>
        <v>1740.2814695661164</v>
      </c>
      <c r="M22" s="52">
        <f t="shared" si="28"/>
        <v>1929.2854350413231</v>
      </c>
      <c r="N22" s="52">
        <f t="shared" si="28"/>
        <v>2158.4504119500011</v>
      </c>
      <c r="O22" s="19">
        <f t="shared" si="27"/>
        <v>7.7199448821506422E-2</v>
      </c>
      <c r="P22" s="51"/>
      <c r="Q22" s="5" t="s">
        <v>22</v>
      </c>
      <c r="R22" s="53">
        <f t="shared" si="24"/>
        <v>2.0859500630470595</v>
      </c>
      <c r="S22" s="53">
        <f t="shared" si="24"/>
        <v>2.7501678865339052</v>
      </c>
      <c r="T22" s="53">
        <f t="shared" si="24"/>
        <v>3.3625054765131113</v>
      </c>
      <c r="U22" s="53">
        <f t="shared" si="24"/>
        <v>4.5830957694431351</v>
      </c>
      <c r="V22" s="53">
        <f t="shared" si="24"/>
        <v>5.3310963427896541</v>
      </c>
      <c r="W22" s="53">
        <f t="shared" si="24"/>
        <v>5.9594661321312747</v>
      </c>
      <c r="X22" s="53">
        <f t="shared" si="24"/>
        <v>7.3257936950698266</v>
      </c>
      <c r="Y22" s="53">
        <f t="shared" si="24"/>
        <v>8.672189983312828</v>
      </c>
      <c r="Z22" s="53">
        <f t="shared" si="24"/>
        <v>9.79637159976361</v>
      </c>
      <c r="AA22" s="53">
        <f t="shared" si="24"/>
        <v>10.860540020708775</v>
      </c>
      <c r="AB22" s="53">
        <f t="shared" si="25"/>
        <v>11.87823080744761</v>
      </c>
      <c r="AC22" s="25">
        <v>0.04</v>
      </c>
      <c r="AD22" s="5" t="s">
        <v>22</v>
      </c>
      <c r="AE22" s="145">
        <v>0.12596363636363639</v>
      </c>
      <c r="AF22" s="145">
        <v>0.12604876033057852</v>
      </c>
      <c r="AG22" s="145">
        <v>0.12613388429752068</v>
      </c>
      <c r="AH22" s="145">
        <v>0.12621900826446283</v>
      </c>
      <c r="AI22" s="145">
        <v>0.12630413223140499</v>
      </c>
      <c r="AJ22" s="145">
        <v>0.12638925619834712</v>
      </c>
      <c r="AK22" s="145">
        <v>0.12647438016528928</v>
      </c>
      <c r="AL22" s="145">
        <v>0.12655950413223144</v>
      </c>
      <c r="AM22" s="145">
        <v>0.1266446280991736</v>
      </c>
      <c r="AN22" s="145">
        <v>0.12672975206611573</v>
      </c>
      <c r="AO22" s="145">
        <v>0.12681487603305788</v>
      </c>
      <c r="AP22" s="145">
        <v>0.12690000000000004</v>
      </c>
      <c r="AQ22" s="4"/>
      <c r="AR22" s="113"/>
    </row>
    <row r="23" spans="2:44" s="77" customFormat="1" ht="15" customHeight="1" x14ac:dyDescent="0.2">
      <c r="B23" s="99" t="s">
        <v>23</v>
      </c>
      <c r="C23" s="130">
        <f>C20*AE23</f>
        <v>2088.6250000000005</v>
      </c>
      <c r="D23" s="130">
        <f t="shared" ref="D23:N23" si="29">D20*AF23</f>
        <v>2128.2227281818186</v>
      </c>
      <c r="E23" s="130">
        <f t="shared" si="29"/>
        <v>2182.6788054545464</v>
      </c>
      <c r="F23" s="130">
        <f t="shared" si="29"/>
        <v>2251.8665827272735</v>
      </c>
      <c r="G23" s="130">
        <f t="shared" si="29"/>
        <v>2350.6800800000005</v>
      </c>
      <c r="H23" s="130">
        <f t="shared" si="29"/>
        <v>2471.3775000000005</v>
      </c>
      <c r="I23" s="130">
        <f t="shared" si="29"/>
        <v>2613.7700909090918</v>
      </c>
      <c r="J23" s="130">
        <f t="shared" si="29"/>
        <v>2800.0101309090915</v>
      </c>
      <c r="K23" s="130">
        <f t="shared" si="29"/>
        <v>3037.1462509090916</v>
      </c>
      <c r="L23" s="130">
        <f t="shared" si="29"/>
        <v>3328.441663181819</v>
      </c>
      <c r="M23" s="130">
        <f t="shared" si="29"/>
        <v>3683.0258363636376</v>
      </c>
      <c r="N23" s="130">
        <f t="shared" si="29"/>
        <v>4112.7920379000016</v>
      </c>
      <c r="O23" s="98">
        <f t="shared" si="27"/>
        <v>7.547338174296736E-2</v>
      </c>
      <c r="P23" s="101"/>
      <c r="Q23" s="99" t="s">
        <v>23</v>
      </c>
      <c r="R23" s="102">
        <f t="shared" si="24"/>
        <v>1.8958754291372726</v>
      </c>
      <c r="S23" s="102">
        <f t="shared" ref="S23:S27" si="30">(E23/D23-1)*100</f>
        <v>2.5587583739062225</v>
      </c>
      <c r="T23" s="102">
        <f t="shared" ref="T23:T27" si="31">(F23/E23-1)*100</f>
        <v>3.1698561006697767</v>
      </c>
      <c r="U23" s="102">
        <f t="shared" ref="U23:U27" si="32">(G23/F23-1)*100</f>
        <v>4.3880706801489255</v>
      </c>
      <c r="V23" s="102">
        <f t="shared" ref="V23:V27" si="33">(H23/G23-1)*100</f>
        <v>5.1345745015204169</v>
      </c>
      <c r="W23" s="102">
        <f t="shared" ref="W23:W27" si="34">(I23/H23-1)*100</f>
        <v>5.7616689845679581</v>
      </c>
      <c r="X23" s="102">
        <f t="shared" ref="X23:X27" si="35">(J23/I23-1)*100</f>
        <v>7.1253413086238115</v>
      </c>
      <c r="Y23" s="102">
        <f t="shared" ref="Y23:Y27" si="36">(K23/J23-1)*100</f>
        <v>8.4691165000538184</v>
      </c>
      <c r="Z23" s="102">
        <f t="shared" ref="Z23:Z27" si="37">(L23/K23-1)*100</f>
        <v>9.5910894045861497</v>
      </c>
      <c r="AA23" s="102">
        <f t="shared" ref="AA23:AA27" si="38">(M23/L23-1)*100</f>
        <v>10.653158717009159</v>
      </c>
      <c r="AB23" s="102">
        <f t="shared" si="25"/>
        <v>11.668834828503005</v>
      </c>
      <c r="AC23" s="74">
        <v>0.01</v>
      </c>
      <c r="AD23" s="99" t="s">
        <v>23</v>
      </c>
      <c r="AE23" s="75">
        <v>0.24500000000000002</v>
      </c>
      <c r="AF23" s="75">
        <v>0.24470909090909093</v>
      </c>
      <c r="AG23" s="75">
        <v>0.24441818181818184</v>
      </c>
      <c r="AH23" s="75">
        <v>0.24412727272727275</v>
      </c>
      <c r="AI23" s="75">
        <v>0.24383636363636366</v>
      </c>
      <c r="AJ23" s="75">
        <v>0.24354545454545456</v>
      </c>
      <c r="AK23" s="75">
        <v>0.24325454545454547</v>
      </c>
      <c r="AL23" s="75">
        <v>0.24296363636363638</v>
      </c>
      <c r="AM23" s="75">
        <v>0.24267272727272729</v>
      </c>
      <c r="AN23" s="75">
        <v>0.2423818181818182</v>
      </c>
      <c r="AO23" s="75">
        <v>0.24209090909090911</v>
      </c>
      <c r="AP23" s="75">
        <v>0.24180000000000001</v>
      </c>
      <c r="AQ23" s="76"/>
      <c r="AR23" s="103"/>
    </row>
    <row r="24" spans="2:44" s="8" customFormat="1" ht="15" customHeight="1" x14ac:dyDescent="0.2">
      <c r="B24" s="5" t="s">
        <v>24</v>
      </c>
      <c r="C24" s="21">
        <f>C20*AE24</f>
        <v>984.71500000000026</v>
      </c>
      <c r="D24" s="21">
        <f t="shared" ref="D24:N24" si="39">D20*AF24</f>
        <v>1004.9649165289258</v>
      </c>
      <c r="E24" s="21">
        <f t="shared" si="39"/>
        <v>1032.3047995041325</v>
      </c>
      <c r="F24" s="21">
        <f t="shared" si="39"/>
        <v>1066.7081497520662</v>
      </c>
      <c r="G24" s="21">
        <f t="shared" si="39"/>
        <v>1115.2747709090911</v>
      </c>
      <c r="H24" s="21">
        <f t="shared" si="39"/>
        <v>1174.3928181818185</v>
      </c>
      <c r="I24" s="21">
        <f t="shared" si="39"/>
        <v>1244.0223553719011</v>
      </c>
      <c r="J24" s="21">
        <f t="shared" si="39"/>
        <v>1334.7731517355376</v>
      </c>
      <c r="K24" s="21">
        <f t="shared" si="39"/>
        <v>1450.1107844628102</v>
      </c>
      <c r="L24" s="21">
        <f t="shared" si="39"/>
        <v>1591.7124138016534</v>
      </c>
      <c r="M24" s="21">
        <f t="shared" si="39"/>
        <v>1764.0754548760335</v>
      </c>
      <c r="N24" s="21">
        <f t="shared" si="39"/>
        <v>1973.0515980000007</v>
      </c>
      <c r="O24" s="19">
        <f t="shared" si="27"/>
        <v>7.6934509310552235E-2</v>
      </c>
      <c r="P24" s="51"/>
      <c r="Q24" s="5" t="s">
        <v>24</v>
      </c>
      <c r="R24" s="53">
        <f t="shared" si="24"/>
        <v>2.0564240951874924</v>
      </c>
      <c r="S24" s="53">
        <f t="shared" si="30"/>
        <v>2.7204813347750045</v>
      </c>
      <c r="T24" s="53">
        <f t="shared" si="31"/>
        <v>3.3326736700690862</v>
      </c>
      <c r="U24" s="53">
        <f t="shared" si="32"/>
        <v>4.5529436677045343</v>
      </c>
      <c r="V24" s="53">
        <f t="shared" si="33"/>
        <v>5.3007607465681783</v>
      </c>
      <c r="W24" s="53">
        <f t="shared" si="34"/>
        <v>5.9289818629751467</v>
      </c>
      <c r="X24" s="53">
        <f t="shared" si="35"/>
        <v>7.2949489992490069</v>
      </c>
      <c r="Y24" s="53">
        <f t="shared" si="36"/>
        <v>8.6409913607645716</v>
      </c>
      <c r="Z24" s="53">
        <f t="shared" si="37"/>
        <v>9.7648835424184011</v>
      </c>
      <c r="AA24" s="53">
        <f t="shared" si="38"/>
        <v>10.828780348750788</v>
      </c>
      <c r="AB24" s="53">
        <f t="shared" si="25"/>
        <v>11.846213411469542</v>
      </c>
      <c r="AC24" s="25">
        <v>0.05</v>
      </c>
      <c r="AD24" s="5" t="s">
        <v>24</v>
      </c>
      <c r="AE24" s="145">
        <v>0.11550909090909091</v>
      </c>
      <c r="AF24" s="145">
        <v>0.11555371900826447</v>
      </c>
      <c r="AG24" s="145">
        <v>0.11559834710743802</v>
      </c>
      <c r="AH24" s="145">
        <v>0.11564297520661157</v>
      </c>
      <c r="AI24" s="145">
        <v>0.11568760330578513</v>
      </c>
      <c r="AJ24" s="145">
        <v>0.11573223140495868</v>
      </c>
      <c r="AK24" s="145">
        <v>0.11577685950413225</v>
      </c>
      <c r="AL24" s="145">
        <v>0.11582148760330579</v>
      </c>
      <c r="AM24" s="145">
        <v>0.11586611570247934</v>
      </c>
      <c r="AN24" s="145">
        <v>0.11591074380165291</v>
      </c>
      <c r="AO24" s="145">
        <v>0.11595537190082646</v>
      </c>
      <c r="AP24" s="145">
        <v>0.11600000000000001</v>
      </c>
      <c r="AQ24" s="4"/>
      <c r="AR24" s="113"/>
    </row>
    <row r="25" spans="2:44" s="77" customFormat="1" ht="15" customHeight="1" x14ac:dyDescent="0.2">
      <c r="B25" s="99" t="s">
        <v>25</v>
      </c>
      <c r="C25" s="130">
        <f>C20*AE25</f>
        <v>1547.2100000000003</v>
      </c>
      <c r="D25" s="130">
        <f t="shared" ref="D25:N25" si="40">D20*AF25</f>
        <v>1577.2386016528926</v>
      </c>
      <c r="E25" s="130">
        <f t="shared" si="40"/>
        <v>1618.3112459504136</v>
      </c>
      <c r="F25" s="130">
        <f t="shared" si="40"/>
        <v>1670.3487229752068</v>
      </c>
      <c r="G25" s="130">
        <f t="shared" si="40"/>
        <v>1744.4184290909093</v>
      </c>
      <c r="H25" s="130">
        <f t="shared" si="40"/>
        <v>1834.8021818181821</v>
      </c>
      <c r="I25" s="130">
        <f t="shared" si="40"/>
        <v>1941.38173553719</v>
      </c>
      <c r="J25" s="130">
        <f t="shared" si="40"/>
        <v>2080.639939173554</v>
      </c>
      <c r="K25" s="130">
        <f t="shared" si="40"/>
        <v>2257.8609064462812</v>
      </c>
      <c r="L25" s="130">
        <f t="shared" si="40"/>
        <v>2475.5229543801652</v>
      </c>
      <c r="M25" s="130">
        <f t="shared" si="40"/>
        <v>2740.4739814876039</v>
      </c>
      <c r="N25" s="130">
        <f t="shared" si="40"/>
        <v>3061.6317900000008</v>
      </c>
      <c r="O25" s="98">
        <f t="shared" si="27"/>
        <v>7.5885970561348826E-2</v>
      </c>
      <c r="P25" s="101"/>
      <c r="Q25" s="99" t="s">
        <v>25</v>
      </c>
      <c r="R25" s="102">
        <f t="shared" si="24"/>
        <v>1.9408226196115708</v>
      </c>
      <c r="S25" s="102">
        <f t="shared" si="30"/>
        <v>2.6040856630365372</v>
      </c>
      <c r="T25" s="102">
        <f t="shared" si="31"/>
        <v>3.2155419518346218</v>
      </c>
      <c r="U25" s="102">
        <f t="shared" si="32"/>
        <v>4.4343857720781976</v>
      </c>
      <c r="V25" s="102">
        <f t="shared" si="33"/>
        <v>5.1813115030191259</v>
      </c>
      <c r="W25" s="102">
        <f t="shared" si="34"/>
        <v>5.8087762689160272</v>
      </c>
      <c r="X25" s="102">
        <f t="shared" si="35"/>
        <v>7.1731489529971659</v>
      </c>
      <c r="Y25" s="102">
        <f t="shared" si="36"/>
        <v>8.5176182546568224</v>
      </c>
      <c r="Z25" s="102">
        <f t="shared" si="37"/>
        <v>9.640188521465177</v>
      </c>
      <c r="AA25" s="102">
        <f t="shared" si="38"/>
        <v>10.702830552980203</v>
      </c>
      <c r="AB25" s="102">
        <f t="shared" si="25"/>
        <v>11.719060669135196</v>
      </c>
      <c r="AC25" s="74">
        <v>0.02</v>
      </c>
      <c r="AD25" s="99" t="s">
        <v>25</v>
      </c>
      <c r="AE25" s="76">
        <v>0.18149090909090909</v>
      </c>
      <c r="AF25" s="76">
        <v>0.18135537190082643</v>
      </c>
      <c r="AG25" s="76">
        <v>0.18121983471074379</v>
      </c>
      <c r="AH25" s="76">
        <v>0.18108429752066116</v>
      </c>
      <c r="AI25" s="76">
        <v>0.1809487603305785</v>
      </c>
      <c r="AJ25" s="76">
        <v>0.18081322314049586</v>
      </c>
      <c r="AK25" s="76">
        <v>0.1806776859504132</v>
      </c>
      <c r="AL25" s="76">
        <v>0.18054214876033056</v>
      </c>
      <c r="AM25" s="76">
        <v>0.18040661157024793</v>
      </c>
      <c r="AN25" s="76">
        <v>0.18027107438016526</v>
      </c>
      <c r="AO25" s="76">
        <v>0.18013553719008263</v>
      </c>
      <c r="AP25" s="76">
        <v>0.18</v>
      </c>
      <c r="AQ25" s="76"/>
      <c r="AR25" s="103"/>
    </row>
    <row r="26" spans="2:44" s="8" customFormat="1" ht="15" customHeight="1" x14ac:dyDescent="0.2">
      <c r="B26" s="5" t="s">
        <v>26</v>
      </c>
      <c r="C26" s="21">
        <f>C20*AE26</f>
        <v>842.03750000000014</v>
      </c>
      <c r="D26" s="21">
        <f t="shared" ref="D26:N26" si="41">D20*AF26</f>
        <v>859.6755385950413</v>
      </c>
      <c r="E26" s="21">
        <f t="shared" si="41"/>
        <v>883.3935369421489</v>
      </c>
      <c r="F26" s="21">
        <f t="shared" si="41"/>
        <v>913.1756034710744</v>
      </c>
      <c r="G26" s="21">
        <f t="shared" si="41"/>
        <v>955.10868727272725</v>
      </c>
      <c r="H26" s="21">
        <f t="shared" si="41"/>
        <v>1006.1120454545456</v>
      </c>
      <c r="I26" s="21">
        <f t="shared" si="41"/>
        <v>1066.1615247933885</v>
      </c>
      <c r="J26" s="21">
        <f t="shared" si="41"/>
        <v>1144.3633957024795</v>
      </c>
      <c r="K26" s="21">
        <f t="shared" si="41"/>
        <v>1243.7101175206612</v>
      </c>
      <c r="L26" s="21">
        <f t="shared" si="41"/>
        <v>1365.6641017768598</v>
      </c>
      <c r="M26" s="21">
        <f t="shared" si="41"/>
        <v>1514.1104917355374</v>
      </c>
      <c r="N26" s="21">
        <f t="shared" si="41"/>
        <v>1694.1029238000003</v>
      </c>
      <c r="O26" s="19">
        <f t="shared" si="27"/>
        <v>7.7277612883226876E-2</v>
      </c>
      <c r="P26" s="51"/>
      <c r="Q26" s="5" t="s">
        <v>26</v>
      </c>
      <c r="R26" s="53">
        <f t="shared" si="24"/>
        <v>2.0946856398962321</v>
      </c>
      <c r="S26" s="53">
        <f t="shared" si="30"/>
        <v>2.758947682269719</v>
      </c>
      <c r="T26" s="53">
        <f t="shared" si="31"/>
        <v>3.3713249286400293</v>
      </c>
      <c r="U26" s="53">
        <f t="shared" si="32"/>
        <v>4.5920065803620735</v>
      </c>
      <c r="V26" s="53">
        <f t="shared" si="33"/>
        <v>5.3400580333382131</v>
      </c>
      <c r="W26" s="53">
        <f t="shared" si="34"/>
        <v>5.9684683838283181</v>
      </c>
      <c r="X26" s="53">
        <f t="shared" si="35"/>
        <v>7.3348989895546834</v>
      </c>
      <c r="Y26" s="53">
        <f t="shared" si="36"/>
        <v>8.6813963284098961</v>
      </c>
      <c r="Z26" s="53">
        <f t="shared" si="37"/>
        <v>9.8056598992146249</v>
      </c>
      <c r="AA26" s="53">
        <f t="shared" si="38"/>
        <v>10.869904961661847</v>
      </c>
      <c r="AB26" s="53">
        <f t="shared" si="25"/>
        <v>11.88766824131493</v>
      </c>
      <c r="AC26" s="25">
        <v>0.06</v>
      </c>
      <c r="AD26" s="5" t="s">
        <v>26</v>
      </c>
      <c r="AE26" s="145">
        <v>9.8772727272727262E-2</v>
      </c>
      <c r="AF26" s="145">
        <v>9.8847933884297509E-2</v>
      </c>
      <c r="AG26" s="145">
        <v>9.8923140495867756E-2</v>
      </c>
      <c r="AH26" s="145">
        <v>9.8998347107438003E-2</v>
      </c>
      <c r="AI26" s="145">
        <v>9.907355371900825E-2</v>
      </c>
      <c r="AJ26" s="145">
        <v>9.9148760330578511E-2</v>
      </c>
      <c r="AK26" s="145">
        <v>9.9223966942148759E-2</v>
      </c>
      <c r="AL26" s="145">
        <v>9.9299173553719006E-2</v>
      </c>
      <c r="AM26" s="145">
        <v>9.9374380165289253E-2</v>
      </c>
      <c r="AN26" s="145">
        <v>9.94495867768595E-2</v>
      </c>
      <c r="AO26" s="145">
        <v>9.9524793388429747E-2</v>
      </c>
      <c r="AP26" s="145">
        <v>9.9599999999999994E-2</v>
      </c>
      <c r="AQ26" s="4"/>
      <c r="AR26" s="113"/>
    </row>
    <row r="27" spans="2:44" s="8" customFormat="1" ht="15" customHeight="1" x14ac:dyDescent="0.2">
      <c r="B27" s="5" t="s">
        <v>8</v>
      </c>
      <c r="C27" s="21">
        <f t="shared" ref="C27:N27" si="42">C20*AE27</f>
        <v>567.84249999999997</v>
      </c>
      <c r="D27" s="21">
        <f t="shared" si="42"/>
        <v>580.39563016528928</v>
      </c>
      <c r="E27" s="21">
        <f t="shared" si="42"/>
        <v>597.08419859504136</v>
      </c>
      <c r="F27" s="21">
        <f t="shared" si="42"/>
        <v>617.91132429752065</v>
      </c>
      <c r="G27" s="21">
        <f t="shared" si="42"/>
        <v>647.01425090909083</v>
      </c>
      <c r="H27" s="21">
        <f t="shared" si="42"/>
        <v>682.33131818181823</v>
      </c>
      <c r="I27" s="21">
        <f t="shared" si="42"/>
        <v>723.86667355371901</v>
      </c>
      <c r="J27" s="21">
        <f t="shared" si="42"/>
        <v>777.83032991735536</v>
      </c>
      <c r="K27" s="21">
        <f t="shared" si="42"/>
        <v>846.29962264462802</v>
      </c>
      <c r="L27" s="21">
        <f t="shared" si="42"/>
        <v>930.31852243801666</v>
      </c>
      <c r="M27" s="21">
        <f t="shared" si="42"/>
        <v>1032.5875221487604</v>
      </c>
      <c r="N27" s="21">
        <f t="shared" si="42"/>
        <v>1156.6164540000002</v>
      </c>
      <c r="O27" s="19">
        <f t="shared" si="27"/>
        <v>7.8305967605561966E-2</v>
      </c>
      <c r="P27" s="51"/>
      <c r="Q27" s="5" t="s">
        <v>8</v>
      </c>
      <c r="R27" s="53">
        <f t="shared" si="24"/>
        <v>2.2106711218849107</v>
      </c>
      <c r="S27" s="53">
        <f t="shared" si="30"/>
        <v>2.8753780287765762</v>
      </c>
      <c r="T27" s="53">
        <f t="shared" si="31"/>
        <v>3.4881388171862815</v>
      </c>
      <c r="U27" s="53">
        <f t="shared" si="32"/>
        <v>4.7098872390235247</v>
      </c>
      <c r="V27" s="53">
        <f t="shared" si="33"/>
        <v>5.4584682212339253</v>
      </c>
      <c r="W27" s="53">
        <f t="shared" si="34"/>
        <v>6.0872708411770393</v>
      </c>
      <c r="X27" s="53">
        <f t="shared" si="35"/>
        <v>7.4549165385263017</v>
      </c>
      <c r="Y27" s="53">
        <f t="shared" si="36"/>
        <v>8.8026000136234739</v>
      </c>
      <c r="Z27" s="53">
        <f t="shared" si="37"/>
        <v>9.9277959655512227</v>
      </c>
      <c r="AA27" s="53">
        <f t="shared" si="38"/>
        <v>10.992901597050331</v>
      </c>
      <c r="AB27" s="53">
        <f t="shared" si="25"/>
        <v>12.011469167586108</v>
      </c>
      <c r="AC27" s="25">
        <v>7.0000000000000007E-2</v>
      </c>
      <c r="AD27" s="5" t="s">
        <v>8</v>
      </c>
      <c r="AE27" s="145">
        <v>6.6609090909090896E-2</v>
      </c>
      <c r="AF27" s="145">
        <v>6.6735537190082642E-2</v>
      </c>
      <c r="AG27" s="145">
        <v>6.6861983471074374E-2</v>
      </c>
      <c r="AH27" s="145">
        <v>6.6988429752066106E-2</v>
      </c>
      <c r="AI27" s="145">
        <v>6.7114876033057838E-2</v>
      </c>
      <c r="AJ27" s="145">
        <v>6.7241322314049584E-2</v>
      </c>
      <c r="AK27" s="145">
        <v>6.7367768595041316E-2</v>
      </c>
      <c r="AL27" s="145">
        <v>6.7494214876033048E-2</v>
      </c>
      <c r="AM27" s="145">
        <v>6.7620661157024781E-2</v>
      </c>
      <c r="AN27" s="145">
        <v>6.7747107438016527E-2</v>
      </c>
      <c r="AO27" s="145">
        <v>6.7873553719008259E-2</v>
      </c>
      <c r="AP27" s="145">
        <v>6.7999999999999991E-2</v>
      </c>
      <c r="AQ27" s="4"/>
      <c r="AR27" s="113"/>
    </row>
    <row r="28" spans="2:44" s="8" customFormat="1" x14ac:dyDescent="0.2"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6"/>
      <c r="P28" s="51"/>
      <c r="R28" s="53"/>
      <c r="S28" s="56"/>
      <c r="T28" s="56"/>
      <c r="U28" s="56"/>
      <c r="V28" s="56"/>
      <c r="W28" s="56"/>
      <c r="X28" s="56"/>
      <c r="Y28" s="56"/>
      <c r="Z28" s="56"/>
      <c r="AA28" s="56"/>
      <c r="AB28" s="53"/>
      <c r="AC28" s="25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4"/>
      <c r="AR28" s="50"/>
    </row>
    <row r="29" spans="2:44" s="8" customFormat="1" x14ac:dyDescent="0.2">
      <c r="B29" s="114" t="s">
        <v>1</v>
      </c>
      <c r="C29" s="49">
        <f t="shared" ref="C29:N29" si="43">C20</f>
        <v>8525.0000000000018</v>
      </c>
      <c r="D29" s="49">
        <f t="shared" si="43"/>
        <v>8696.9500000000007</v>
      </c>
      <c r="E29" s="49">
        <f t="shared" si="43"/>
        <v>8930.1000000000022</v>
      </c>
      <c r="F29" s="49">
        <f t="shared" si="43"/>
        <v>9224.1500000000015</v>
      </c>
      <c r="G29" s="49">
        <f t="shared" si="43"/>
        <v>9640.4000000000015</v>
      </c>
      <c r="H29" s="49">
        <f t="shared" si="43"/>
        <v>10147.500000000002</v>
      </c>
      <c r="I29" s="49">
        <f t="shared" si="43"/>
        <v>10745.000000000002</v>
      </c>
      <c r="J29" s="49">
        <f t="shared" si="43"/>
        <v>11524.400000000001</v>
      </c>
      <c r="K29" s="49">
        <f t="shared" si="43"/>
        <v>12515.400000000001</v>
      </c>
      <c r="L29" s="49">
        <f t="shared" si="43"/>
        <v>13732.225000000002</v>
      </c>
      <c r="M29" s="49">
        <f t="shared" si="43"/>
        <v>15213.400000000003</v>
      </c>
      <c r="N29" s="49">
        <f t="shared" si="43"/>
        <v>17009.065500000004</v>
      </c>
      <c r="O29" s="19">
        <f t="shared" si="27"/>
        <v>7.6579022942979691E-2</v>
      </c>
      <c r="P29" s="51"/>
      <c r="Q29" s="114" t="s">
        <v>1</v>
      </c>
      <c r="R29" s="49">
        <f t="shared" ref="R29:AA32" si="44">(D29/C29-1)*100</f>
        <v>2.0170087976539408</v>
      </c>
      <c r="S29" s="49">
        <f t="shared" si="44"/>
        <v>2.6808248868856577</v>
      </c>
      <c r="T29" s="49">
        <f t="shared" si="44"/>
        <v>3.2927962732780092</v>
      </c>
      <c r="U29" s="49">
        <f t="shared" si="44"/>
        <v>4.512610918079174</v>
      </c>
      <c r="V29" s="49">
        <f t="shared" si="44"/>
        <v>5.2601551802829771</v>
      </c>
      <c r="W29" s="49">
        <f t="shared" si="44"/>
        <v>5.8881497905888036</v>
      </c>
      <c r="X29" s="49">
        <f t="shared" si="44"/>
        <v>7.2536063285248975</v>
      </c>
      <c r="Y29" s="49">
        <f t="shared" si="44"/>
        <v>8.5991461594529852</v>
      </c>
      <c r="Z29" s="49">
        <f t="shared" si="44"/>
        <v>9.7226217300286031</v>
      </c>
      <c r="AA29" s="49">
        <f t="shared" si="44"/>
        <v>10.786125336571462</v>
      </c>
      <c r="AB29" s="53">
        <f t="shared" si="25"/>
        <v>11.803183377811678</v>
      </c>
      <c r="AC29" s="25"/>
      <c r="AD29" s="114" t="s">
        <v>1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J29" s="20">
        <v>1</v>
      </c>
      <c r="AK29" s="20">
        <v>1</v>
      </c>
      <c r="AL29" s="20">
        <v>1</v>
      </c>
      <c r="AM29" s="20">
        <v>1</v>
      </c>
      <c r="AN29" s="20">
        <v>1</v>
      </c>
      <c r="AO29" s="20">
        <v>1</v>
      </c>
      <c r="AP29" s="20">
        <v>1</v>
      </c>
      <c r="AQ29" s="4"/>
      <c r="AR29" s="50"/>
    </row>
    <row r="30" spans="2:44" s="77" customFormat="1" x14ac:dyDescent="0.2">
      <c r="B30" s="77" t="s">
        <v>39</v>
      </c>
      <c r="C30" s="100">
        <f>C29*AE30</f>
        <v>3452.6250000000009</v>
      </c>
      <c r="D30" s="100">
        <f t="shared" ref="D30:N30" si="45">D29*AF30</f>
        <v>3523.0553818181825</v>
      </c>
      <c r="E30" s="100">
        <f t="shared" si="45"/>
        <v>3618.3141545454555</v>
      </c>
      <c r="F30" s="100">
        <f t="shared" si="45"/>
        <v>3738.2964272727281</v>
      </c>
      <c r="G30" s="100">
        <f t="shared" si="45"/>
        <v>3907.8676000000005</v>
      </c>
      <c r="H30" s="100">
        <f t="shared" si="45"/>
        <v>4114.3500000000013</v>
      </c>
      <c r="I30" s="100">
        <f t="shared" si="45"/>
        <v>4357.5859090909107</v>
      </c>
      <c r="J30" s="100">
        <f t="shared" si="45"/>
        <v>4674.7157090909104</v>
      </c>
      <c r="K30" s="100">
        <f t="shared" si="45"/>
        <v>5077.8391090909099</v>
      </c>
      <c r="L30" s="100">
        <f t="shared" si="45"/>
        <v>5572.7865818181835</v>
      </c>
      <c r="M30" s="100">
        <f t="shared" si="45"/>
        <v>6175.2573636363659</v>
      </c>
      <c r="N30" s="100">
        <f t="shared" si="45"/>
        <v>6905.6805930000019</v>
      </c>
      <c r="O30" s="98">
        <f t="shared" si="27"/>
        <v>7.6785805550406039E-2</v>
      </c>
      <c r="P30" s="101"/>
      <c r="Q30" s="77" t="s">
        <v>39</v>
      </c>
      <c r="R30" s="102">
        <f t="shared" si="44"/>
        <v>2.0399082384614964</v>
      </c>
      <c r="S30" s="102">
        <f t="shared" si="44"/>
        <v>2.7038681599751646</v>
      </c>
      <c r="T30" s="102">
        <f t="shared" si="44"/>
        <v>3.3159716819101126</v>
      </c>
      <c r="U30" s="102">
        <f t="shared" si="44"/>
        <v>4.5360547518427552</v>
      </c>
      <c r="V30" s="102">
        <f t="shared" si="44"/>
        <v>5.2837614048132142</v>
      </c>
      <c r="W30" s="102">
        <f t="shared" si="44"/>
        <v>5.9118915282100337</v>
      </c>
      <c r="X30" s="102">
        <f t="shared" si="44"/>
        <v>7.2776488316247612</v>
      </c>
      <c r="Y30" s="102">
        <f t="shared" si="44"/>
        <v>8.6234848295918098</v>
      </c>
      <c r="Z30" s="102">
        <f t="shared" si="44"/>
        <v>9.7472066777610991</v>
      </c>
      <c r="AA30" s="102">
        <f t="shared" si="44"/>
        <v>10.810943016978403</v>
      </c>
      <c r="AB30" s="102">
        <f t="shared" si="25"/>
        <v>11.828223284503213</v>
      </c>
      <c r="AC30" s="74">
        <v>0.01</v>
      </c>
      <c r="AD30" s="77" t="s">
        <v>39</v>
      </c>
      <c r="AE30" s="76">
        <v>0.40500000000000003</v>
      </c>
      <c r="AF30" s="76">
        <v>0.40509090909090911</v>
      </c>
      <c r="AG30" s="76">
        <v>0.4051818181818182</v>
      </c>
      <c r="AH30" s="76">
        <v>0.40527272727272728</v>
      </c>
      <c r="AI30" s="76">
        <v>0.40536363636363637</v>
      </c>
      <c r="AJ30" s="76">
        <v>0.40545454545454551</v>
      </c>
      <c r="AK30" s="76">
        <v>0.4055454545454546</v>
      </c>
      <c r="AL30" s="76">
        <v>0.40563636363636368</v>
      </c>
      <c r="AM30" s="76">
        <v>0.40572727272727277</v>
      </c>
      <c r="AN30" s="76">
        <v>0.40581818181818186</v>
      </c>
      <c r="AO30" s="76">
        <v>0.40590909090909094</v>
      </c>
      <c r="AP30" s="76">
        <v>0.40600000000000003</v>
      </c>
      <c r="AQ30" s="142"/>
      <c r="AR30" s="143"/>
    </row>
    <row r="31" spans="2:44" s="8" customFormat="1" x14ac:dyDescent="0.2">
      <c r="B31" s="8" t="s">
        <v>40</v>
      </c>
      <c r="C31" s="52">
        <f>C29*AE31</f>
        <v>2821.7750000000005</v>
      </c>
      <c r="D31" s="52">
        <f t="shared" ref="D31:N31" si="46">D29*AF31</f>
        <v>2874.7372909090909</v>
      </c>
      <c r="E31" s="52">
        <f t="shared" si="46"/>
        <v>2947.7448272727279</v>
      </c>
      <c r="F31" s="52">
        <f t="shared" si="46"/>
        <v>3040.615263636364</v>
      </c>
      <c r="G31" s="52">
        <f t="shared" si="46"/>
        <v>3173.4444000000003</v>
      </c>
      <c r="H31" s="52">
        <f t="shared" si="46"/>
        <v>3335.76</v>
      </c>
      <c r="I31" s="52">
        <f t="shared" si="46"/>
        <v>3527.2904545454553</v>
      </c>
      <c r="J31" s="52">
        <f t="shared" si="46"/>
        <v>3777.9078545454545</v>
      </c>
      <c r="K31" s="52">
        <f t="shared" si="46"/>
        <v>4097.086854545455</v>
      </c>
      <c r="L31" s="52">
        <f t="shared" si="46"/>
        <v>4489.1891909090909</v>
      </c>
      <c r="M31" s="52">
        <f t="shared" si="46"/>
        <v>4966.4835818181828</v>
      </c>
      <c r="N31" s="52">
        <f t="shared" si="46"/>
        <v>5544.9553530000012</v>
      </c>
      <c r="O31" s="19">
        <f t="shared" si="27"/>
        <v>7.5298491915648968E-2</v>
      </c>
      <c r="P31" s="51"/>
      <c r="Q31" s="8" t="s">
        <v>40</v>
      </c>
      <c r="R31" s="53">
        <f t="shared" si="44"/>
        <v>1.8769140313841692</v>
      </c>
      <c r="S31" s="53">
        <f t="shared" si="44"/>
        <v>2.539624632640769</v>
      </c>
      <c r="T31" s="53">
        <f t="shared" si="44"/>
        <v>3.1505588782445804</v>
      </c>
      <c r="U31" s="53">
        <f t="shared" si="44"/>
        <v>4.368495348694057</v>
      </c>
      <c r="V31" s="53">
        <f t="shared" si="44"/>
        <v>5.1148083766648034</v>
      </c>
      <c r="W31" s="53">
        <f t="shared" si="44"/>
        <v>5.741733654263359</v>
      </c>
      <c r="X31" s="53">
        <f t="shared" si="44"/>
        <v>7.1050967656218988</v>
      </c>
      <c r="Y31" s="53">
        <f t="shared" si="44"/>
        <v>8.4485649806406613</v>
      </c>
      <c r="Z31" s="53">
        <f t="shared" si="44"/>
        <v>9.5702715193509711</v>
      </c>
      <c r="AA31" s="53">
        <f t="shared" si="44"/>
        <v>10.632084561631871</v>
      </c>
      <c r="AB31" s="53">
        <f t="shared" si="25"/>
        <v>11.647512000231863</v>
      </c>
      <c r="AC31" s="25">
        <v>0.02</v>
      </c>
      <c r="AD31" s="8" t="s">
        <v>40</v>
      </c>
      <c r="AE31" s="4">
        <v>0.33100000000000002</v>
      </c>
      <c r="AF31" s="4">
        <v>0.33054545454545453</v>
      </c>
      <c r="AG31" s="4">
        <v>0.3300909090909091</v>
      </c>
      <c r="AH31" s="4">
        <v>0.32963636363636362</v>
      </c>
      <c r="AI31" s="4">
        <v>0.32918181818181819</v>
      </c>
      <c r="AJ31" s="4">
        <v>0.3287272727272727</v>
      </c>
      <c r="AK31" s="4">
        <v>0.32827272727272727</v>
      </c>
      <c r="AL31" s="4">
        <v>0.32781818181818179</v>
      </c>
      <c r="AM31" s="4">
        <v>0.32736363636363636</v>
      </c>
      <c r="AN31" s="4">
        <v>0.32690909090909087</v>
      </c>
      <c r="AO31" s="4">
        <v>0.32645454545454544</v>
      </c>
      <c r="AP31" s="4">
        <v>0.32600000000000001</v>
      </c>
      <c r="AQ31" s="50"/>
      <c r="AR31" s="50"/>
    </row>
    <row r="32" spans="2:44" s="8" customFormat="1" x14ac:dyDescent="0.2">
      <c r="B32" s="8" t="s">
        <v>41</v>
      </c>
      <c r="C32" s="21">
        <f>C29*AE32</f>
        <v>2250.6000000000004</v>
      </c>
      <c r="D32" s="21">
        <f t="shared" ref="D32:N32" si="47">D29*AF32</f>
        <v>2299.1573272727278</v>
      </c>
      <c r="E32" s="21">
        <f t="shared" si="47"/>
        <v>2364.0410181818188</v>
      </c>
      <c r="F32" s="21">
        <f t="shared" si="47"/>
        <v>2445.2383090909098</v>
      </c>
      <c r="G32" s="21">
        <f t="shared" si="47"/>
        <v>2559.0880000000006</v>
      </c>
      <c r="H32" s="21">
        <f t="shared" si="47"/>
        <v>2697.3900000000008</v>
      </c>
      <c r="I32" s="21">
        <f t="shared" si="47"/>
        <v>2860.1236363636376</v>
      </c>
      <c r="J32" s="21">
        <f t="shared" si="47"/>
        <v>3071.776436363637</v>
      </c>
      <c r="K32" s="21">
        <f t="shared" si="47"/>
        <v>3340.474036363637</v>
      </c>
      <c r="L32" s="21">
        <f t="shared" si="47"/>
        <v>3670.2492272727286</v>
      </c>
      <c r="M32" s="21">
        <f t="shared" si="47"/>
        <v>4071.659054545456</v>
      </c>
      <c r="N32" s="21">
        <f t="shared" si="47"/>
        <v>4558.4295540000012</v>
      </c>
      <c r="O32" s="19">
        <f t="shared" si="27"/>
        <v>7.7836960507412511E-2</v>
      </c>
      <c r="P32" s="51"/>
      <c r="Q32" s="8" t="s">
        <v>41</v>
      </c>
      <c r="R32" s="53">
        <f t="shared" si="44"/>
        <v>2.1575280935185015</v>
      </c>
      <c r="S32" s="53">
        <f t="shared" ref="S32" si="48">(E32/D32-1)*100</f>
        <v>2.822063985767187</v>
      </c>
      <c r="T32" s="53">
        <f t="shared" ref="T32" si="49">(F32/E32-1)*100</f>
        <v>3.4346819824446095</v>
      </c>
      <c r="U32" s="53">
        <f t="shared" ref="U32" si="50">(G32/F32-1)*100</f>
        <v>4.6559752677610255</v>
      </c>
      <c r="V32" s="53">
        <f t="shared" ref="V32" si="51">(H32/G32-1)*100</f>
        <v>5.4043471736806348</v>
      </c>
      <c r="W32" s="53">
        <f t="shared" ref="W32" si="52">(I32/H32-1)*100</f>
        <v>6.0330036206717175</v>
      </c>
      <c r="X32" s="53">
        <f t="shared" ref="X32" si="53">(J32/I32-1)*100</f>
        <v>7.4001276486458156</v>
      </c>
      <c r="Y32" s="53">
        <f t="shared" ref="Y32" si="54">(K32/J32-1)*100</f>
        <v>8.7473032483471833</v>
      </c>
      <c r="Z32" s="53">
        <f t="shared" ref="Z32" si="55">(L32/K32-1)*100</f>
        <v>9.872107590696233</v>
      </c>
      <c r="AA32" s="53">
        <f t="shared" ref="AA32" si="56">(M32/L32-1)*100</f>
        <v>10.936854758798088</v>
      </c>
      <c r="AB32" s="53">
        <f t="shared" si="25"/>
        <v>11.955089876966296</v>
      </c>
      <c r="AC32" s="25">
        <v>0.03</v>
      </c>
      <c r="AD32" s="8" t="s">
        <v>41</v>
      </c>
      <c r="AE32" s="4">
        <v>0.26400000000000001</v>
      </c>
      <c r="AF32" s="4">
        <v>0.26436363636363641</v>
      </c>
      <c r="AG32" s="4">
        <v>0.26472727272727276</v>
      </c>
      <c r="AH32" s="4">
        <v>0.2650909090909091</v>
      </c>
      <c r="AI32" s="4">
        <v>0.2654545454545455</v>
      </c>
      <c r="AJ32" s="4">
        <v>0.26581818181818184</v>
      </c>
      <c r="AK32" s="4">
        <v>0.26618181818181824</v>
      </c>
      <c r="AL32" s="4">
        <v>0.26654545454545459</v>
      </c>
      <c r="AM32" s="4">
        <v>0.26690909090909093</v>
      </c>
      <c r="AN32" s="4">
        <v>0.26727272727272733</v>
      </c>
      <c r="AO32" s="4">
        <v>0.26763636363636367</v>
      </c>
      <c r="AP32" s="4">
        <v>0.26800000000000002</v>
      </c>
      <c r="AQ32" s="50"/>
      <c r="AR32" s="50"/>
    </row>
    <row r="33" spans="2:44" s="8" customFormat="1" x14ac:dyDescent="0.2"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6"/>
      <c r="P33" s="51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25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50"/>
      <c r="AR33" s="50"/>
    </row>
    <row r="34" spans="2:44" s="8" customFormat="1" x14ac:dyDescent="0.2"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5"/>
      <c r="O34" s="6"/>
      <c r="P34" s="51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1"/>
      <c r="AC34" s="4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2:44" x14ac:dyDescent="0.2"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61"/>
      <c r="O35" s="6"/>
      <c r="P35" s="24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2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2:44" x14ac:dyDescent="0.2">
      <c r="D36" s="43"/>
      <c r="E36" s="43"/>
      <c r="F36" s="43"/>
      <c r="G36" s="43"/>
      <c r="H36" s="43"/>
      <c r="I36" s="43"/>
      <c r="J36" s="43"/>
      <c r="K36" s="43"/>
      <c r="L36" s="43"/>
      <c r="M36" s="43"/>
      <c r="AD36" s="4"/>
      <c r="AH36" s="4"/>
      <c r="AM36" s="4"/>
    </row>
    <row r="37" spans="2:44" x14ac:dyDescent="0.2">
      <c r="C37" s="44"/>
      <c r="AC37" s="4"/>
      <c r="AD37" s="4"/>
      <c r="AE37" s="4"/>
      <c r="AF37" s="4"/>
      <c r="AG37" s="4"/>
      <c r="AH37" s="4"/>
      <c r="AI37" s="4"/>
      <c r="AJ37" s="4"/>
      <c r="AK37" s="4"/>
      <c r="AM37" s="29">
        <v>2023</v>
      </c>
      <c r="AN37" s="29">
        <v>2030</v>
      </c>
    </row>
    <row r="38" spans="2:44" x14ac:dyDescent="0.2">
      <c r="AC38" s="4"/>
      <c r="AD38" s="4"/>
      <c r="AE38" s="4"/>
      <c r="AF38" s="4"/>
      <c r="AG38" s="4"/>
      <c r="AH38" s="4"/>
      <c r="AI38" s="4"/>
      <c r="AJ38" s="4"/>
      <c r="AK38" s="4"/>
      <c r="AL38" s="2" t="str">
        <f>AD8</f>
        <v>Flexible Electronics</v>
      </c>
      <c r="AM38" s="33">
        <f>AI8</f>
        <v>0.52909090909090906</v>
      </c>
      <c r="AN38" s="33">
        <f>AP8</f>
        <v>0.52749999999999997</v>
      </c>
    </row>
    <row r="39" spans="2:44" x14ac:dyDescent="0.2">
      <c r="B39" s="62"/>
      <c r="C39" s="62"/>
      <c r="AC39" s="4"/>
      <c r="AD39" s="4"/>
      <c r="AE39" s="4"/>
      <c r="AF39" s="4"/>
      <c r="AG39" s="4"/>
      <c r="AH39" s="4"/>
      <c r="AI39" s="4"/>
      <c r="AJ39" s="4"/>
      <c r="AK39" s="4"/>
      <c r="AL39" s="5" t="str">
        <f>AD13</f>
        <v>Flexible Circuit</v>
      </c>
      <c r="AM39" s="33">
        <f>AI13</f>
        <v>0.47090909090909089</v>
      </c>
      <c r="AN39" s="33">
        <f>AP13</f>
        <v>0.47249999999999998</v>
      </c>
    </row>
    <row r="40" spans="2:44" x14ac:dyDescent="0.2">
      <c r="B40" s="62"/>
      <c r="C40" s="62"/>
      <c r="V40" s="33"/>
      <c r="W40" s="33"/>
      <c r="AC40" s="4"/>
      <c r="AD40" s="4"/>
      <c r="AL40" s="5"/>
      <c r="AM40" s="33"/>
      <c r="AN40" s="33"/>
    </row>
    <row r="41" spans="2:44" x14ac:dyDescent="0.2">
      <c r="B41" s="62"/>
      <c r="C41" s="62"/>
      <c r="V41" s="33"/>
      <c r="W41" s="33"/>
      <c r="AC41" s="4"/>
      <c r="AD41" s="4"/>
      <c r="AL41" s="5"/>
      <c r="AM41" s="33"/>
      <c r="AN41" s="33"/>
    </row>
    <row r="42" spans="2:44" x14ac:dyDescent="0.2">
      <c r="B42" s="62"/>
      <c r="C42" s="62"/>
      <c r="V42" s="33"/>
      <c r="W42" s="33"/>
      <c r="AL42" s="5"/>
      <c r="AM42" s="33"/>
      <c r="AN42" s="33"/>
    </row>
    <row r="43" spans="2:44" x14ac:dyDescent="0.2">
      <c r="B43" s="62"/>
      <c r="C43" s="62"/>
      <c r="AL43" s="5"/>
      <c r="AM43" s="33"/>
      <c r="AN43" s="33"/>
    </row>
    <row r="44" spans="2:44" x14ac:dyDescent="0.2">
      <c r="B44" s="62"/>
      <c r="C44" s="62"/>
      <c r="AL44" s="5"/>
      <c r="AM44" s="33"/>
      <c r="AN44" s="33"/>
    </row>
    <row r="45" spans="2:44" x14ac:dyDescent="0.2">
      <c r="B45" s="62"/>
      <c r="C45" s="62"/>
      <c r="AL45" s="5"/>
      <c r="AM45" s="33"/>
      <c r="AN45" s="33"/>
    </row>
    <row r="46" spans="2:44" x14ac:dyDescent="0.2">
      <c r="AL46" s="5"/>
      <c r="AM46" s="33"/>
      <c r="AN46" s="33"/>
    </row>
    <row r="47" spans="2:44" x14ac:dyDescent="0.2">
      <c r="AL47" s="4"/>
      <c r="AM47" s="4"/>
    </row>
    <row r="48" spans="2:44" x14ac:dyDescent="0.2">
      <c r="AL48" s="4"/>
      <c r="AM48" s="4"/>
    </row>
    <row r="49" spans="4:40" x14ac:dyDescent="0.2">
      <c r="AL49" s="4"/>
      <c r="AM49" s="4"/>
    </row>
    <row r="52" spans="4:40" x14ac:dyDescent="0.2">
      <c r="D52" s="62"/>
    </row>
    <row r="53" spans="4:40" x14ac:dyDescent="0.2">
      <c r="D53" s="62"/>
      <c r="AL53" s="4"/>
      <c r="AM53" s="29">
        <v>2023</v>
      </c>
      <c r="AN53" s="29">
        <v>2030</v>
      </c>
    </row>
    <row r="54" spans="4:40" x14ac:dyDescent="0.2">
      <c r="AL54" s="2" t="str">
        <f t="shared" ref="AL54:AL60" si="57">AD21</f>
        <v>Automotive</v>
      </c>
      <c r="AM54" s="33">
        <f t="shared" ref="AM54:AM60" si="58">AI21</f>
        <v>0.16703471074380166</v>
      </c>
      <c r="AN54" s="33">
        <f t="shared" ref="AN54:AN60" si="59">AP21</f>
        <v>0.16770000000000002</v>
      </c>
    </row>
    <row r="55" spans="4:40" x14ac:dyDescent="0.2">
      <c r="AL55" s="2" t="str">
        <f t="shared" si="57"/>
        <v>Military, Defense and Aerospace</v>
      </c>
      <c r="AM55" s="33">
        <f t="shared" si="58"/>
        <v>0.12630413223140499</v>
      </c>
      <c r="AN55" s="33">
        <f t="shared" si="59"/>
        <v>0.12690000000000004</v>
      </c>
    </row>
    <row r="56" spans="4:40" x14ac:dyDescent="0.2">
      <c r="AL56" s="2" t="str">
        <f t="shared" si="57"/>
        <v>Consumer Electronics</v>
      </c>
      <c r="AM56" s="33">
        <f t="shared" si="58"/>
        <v>0.24383636363636366</v>
      </c>
      <c r="AN56" s="33">
        <f t="shared" si="59"/>
        <v>0.24180000000000001</v>
      </c>
    </row>
    <row r="57" spans="4:40" x14ac:dyDescent="0.2">
      <c r="AL57" s="2" t="str">
        <f t="shared" si="57"/>
        <v>Industrial</v>
      </c>
      <c r="AM57" s="33">
        <f t="shared" si="58"/>
        <v>0.11568760330578513</v>
      </c>
      <c r="AN57" s="33">
        <f t="shared" si="59"/>
        <v>0.11600000000000001</v>
      </c>
    </row>
    <row r="58" spans="4:40" x14ac:dyDescent="0.2">
      <c r="D58" s="62"/>
      <c r="AL58" s="2" t="str">
        <f t="shared" si="57"/>
        <v>Healthcare and Medical</v>
      </c>
      <c r="AM58" s="33">
        <f t="shared" si="58"/>
        <v>0.1809487603305785</v>
      </c>
      <c r="AN58" s="33">
        <f t="shared" si="59"/>
        <v>0.18</v>
      </c>
    </row>
    <row r="59" spans="4:40" x14ac:dyDescent="0.2">
      <c r="D59" s="62"/>
      <c r="AL59" s="2" t="str">
        <f t="shared" si="57"/>
        <v>Energy and Power</v>
      </c>
      <c r="AM59" s="33">
        <f t="shared" si="58"/>
        <v>9.907355371900825E-2</v>
      </c>
      <c r="AN59" s="33">
        <f t="shared" si="59"/>
        <v>9.9599999999999994E-2</v>
      </c>
    </row>
    <row r="60" spans="4:40" x14ac:dyDescent="0.2">
      <c r="D60" s="62"/>
      <c r="AL60" s="2" t="str">
        <f t="shared" si="57"/>
        <v>Others</v>
      </c>
      <c r="AM60" s="33">
        <f t="shared" si="58"/>
        <v>6.7114876033057838E-2</v>
      </c>
      <c r="AN60" s="33">
        <f t="shared" si="59"/>
        <v>6.7999999999999991E-2</v>
      </c>
    </row>
    <row r="61" spans="4:40" x14ac:dyDescent="0.2">
      <c r="D61" s="62"/>
      <c r="AL61" s="4"/>
      <c r="AM61" s="4"/>
    </row>
    <row r="64" spans="4:40" x14ac:dyDescent="0.2">
      <c r="D64" s="62"/>
    </row>
    <row r="65" spans="4:40" x14ac:dyDescent="0.2">
      <c r="D65" s="62"/>
    </row>
    <row r="69" spans="4:40" x14ac:dyDescent="0.2">
      <c r="AM69" s="29">
        <v>2023</v>
      </c>
      <c r="AN69" s="29">
        <v>2030</v>
      </c>
    </row>
    <row r="70" spans="4:40" x14ac:dyDescent="0.2">
      <c r="AL70" s="8" t="str">
        <f>AD30</f>
        <v>The U.S.</v>
      </c>
      <c r="AM70" s="33">
        <f>AI30</f>
        <v>0.40536363636363637</v>
      </c>
      <c r="AN70" s="33">
        <f>AP30</f>
        <v>0.40600000000000003</v>
      </c>
    </row>
    <row r="71" spans="4:40" x14ac:dyDescent="0.2">
      <c r="AL71" s="8" t="str">
        <f t="shared" ref="AL71:AL72" si="60">AD31</f>
        <v>Canada</v>
      </c>
      <c r="AM71" s="33">
        <f>AI31</f>
        <v>0.32918181818181819</v>
      </c>
      <c r="AN71" s="33">
        <f>AP31</f>
        <v>0.32600000000000001</v>
      </c>
    </row>
    <row r="72" spans="4:40" x14ac:dyDescent="0.2">
      <c r="AL72" s="8" t="str">
        <f t="shared" si="60"/>
        <v>Mexico</v>
      </c>
      <c r="AM72" s="33">
        <f>AI32</f>
        <v>0.2654545454545455</v>
      </c>
      <c r="AN72" s="33">
        <f>AP32</f>
        <v>0.26800000000000002</v>
      </c>
    </row>
    <row r="73" spans="4:40" x14ac:dyDescent="0.2">
      <c r="AL73" s="8"/>
      <c r="AM73" s="33"/>
      <c r="AN73" s="33"/>
    </row>
    <row r="74" spans="4:40" x14ac:dyDescent="0.2">
      <c r="AL74" s="8"/>
      <c r="AM74" s="33"/>
      <c r="AN74" s="33"/>
    </row>
    <row r="75" spans="4:40" x14ac:dyDescent="0.2">
      <c r="AL75" s="8"/>
      <c r="AM75" s="33"/>
      <c r="AN75" s="33"/>
    </row>
    <row r="76" spans="4:40" x14ac:dyDescent="0.2">
      <c r="AL76" s="8"/>
      <c r="AM76" s="33"/>
      <c r="AN76" s="33"/>
    </row>
    <row r="83" spans="5:40" x14ac:dyDescent="0.2">
      <c r="E83" s="21"/>
      <c r="F83" s="21"/>
      <c r="G83" s="21"/>
      <c r="H83" s="21"/>
      <c r="I83" s="21"/>
      <c r="J83" s="21"/>
      <c r="K83" s="21"/>
      <c r="L83" s="21"/>
      <c r="M83" s="21"/>
      <c r="N83" s="21"/>
      <c r="AM83" s="33"/>
      <c r="AN83" s="33"/>
    </row>
    <row r="84" spans="5:40" x14ac:dyDescent="0.2">
      <c r="F84" s="63"/>
      <c r="G84" s="63"/>
      <c r="H84" s="63"/>
      <c r="I84" s="63"/>
      <c r="J84" s="63"/>
      <c r="K84" s="63"/>
      <c r="L84" s="63"/>
      <c r="M84" s="63"/>
      <c r="N84" s="63"/>
      <c r="AM84" s="29"/>
      <c r="AN84" s="29"/>
    </row>
    <row r="85" spans="5:40" x14ac:dyDescent="0.2">
      <c r="AL85" s="8"/>
      <c r="AM85" s="4"/>
      <c r="AN85" s="4"/>
    </row>
    <row r="86" spans="5:40" x14ac:dyDescent="0.2">
      <c r="E86" s="48"/>
      <c r="AL86" s="8"/>
      <c r="AM86" s="4"/>
      <c r="AN86" s="4"/>
    </row>
    <row r="87" spans="5:40" x14ac:dyDescent="0.2">
      <c r="E87" s="48"/>
      <c r="F87" s="63"/>
      <c r="AL87" s="8"/>
      <c r="AM87" s="4"/>
      <c r="AN87" s="4"/>
    </row>
    <row r="88" spans="5:40" x14ac:dyDescent="0.2">
      <c r="E88" s="48"/>
      <c r="F88" s="63"/>
      <c r="AL88" s="8"/>
      <c r="AM88" s="4"/>
      <c r="AN88" s="4"/>
    </row>
    <row r="89" spans="5:40" x14ac:dyDescent="0.2">
      <c r="E89" s="48"/>
      <c r="F89" s="63"/>
      <c r="AL89" s="8"/>
      <c r="AM89" s="4"/>
      <c r="AN89" s="4"/>
    </row>
    <row r="90" spans="5:40" x14ac:dyDescent="0.2">
      <c r="E90" s="48"/>
      <c r="F90" s="63"/>
      <c r="AL90" s="8"/>
      <c r="AM90" s="4"/>
      <c r="AN90" s="4"/>
    </row>
    <row r="91" spans="5:40" x14ac:dyDescent="0.2">
      <c r="E91" s="48"/>
      <c r="F91" s="63"/>
      <c r="AL91" s="8"/>
      <c r="AM91" s="4"/>
      <c r="AN91" s="4"/>
    </row>
    <row r="92" spans="5:40" x14ac:dyDescent="0.2">
      <c r="E92" s="48"/>
      <c r="F92" s="63"/>
      <c r="AL92" s="8"/>
      <c r="AM92" s="4"/>
      <c r="AN92" s="4"/>
    </row>
    <row r="93" spans="5:40" x14ac:dyDescent="0.2">
      <c r="E93" s="48"/>
      <c r="F93" s="63"/>
      <c r="AL93" s="8"/>
      <c r="AM93" s="4"/>
      <c r="AN93" s="4"/>
    </row>
    <row r="94" spans="5:40" x14ac:dyDescent="0.2">
      <c r="E94" s="48"/>
      <c r="F94" s="63"/>
      <c r="AL94" s="8"/>
      <c r="AM94" s="4"/>
      <c r="AN94" s="4"/>
    </row>
    <row r="95" spans="5:40" x14ac:dyDescent="0.2">
      <c r="E95" s="48"/>
      <c r="F95" s="63"/>
    </row>
    <row r="100" spans="38:40" x14ac:dyDescent="0.2">
      <c r="AM100" s="29"/>
      <c r="AN100" s="29"/>
    </row>
    <row r="101" spans="38:40" x14ac:dyDescent="0.2">
      <c r="AL101" s="8"/>
      <c r="AM101" s="33"/>
      <c r="AN101" s="33"/>
    </row>
    <row r="102" spans="38:40" x14ac:dyDescent="0.2">
      <c r="AL102" s="8"/>
      <c r="AM102" s="33"/>
      <c r="AN102" s="33"/>
    </row>
    <row r="103" spans="38:40" x14ac:dyDescent="0.2">
      <c r="AL103" s="8"/>
      <c r="AM103" s="33"/>
      <c r="AN103" s="33"/>
    </row>
    <row r="104" spans="38:40" x14ac:dyDescent="0.2">
      <c r="AL104" s="9"/>
      <c r="AM104" s="7"/>
      <c r="AN104" s="7"/>
    </row>
    <row r="105" spans="38:40" x14ac:dyDescent="0.2">
      <c r="AL105" s="9"/>
      <c r="AM105" s="7"/>
      <c r="AN105" s="7"/>
    </row>
    <row r="106" spans="38:40" x14ac:dyDescent="0.2">
      <c r="AL106" s="9"/>
      <c r="AM106" s="7"/>
      <c r="AN106" s="7"/>
    </row>
    <row r="121" spans="39:40" x14ac:dyDescent="0.2">
      <c r="AM121" s="29"/>
      <c r="AN121" s="29"/>
    </row>
    <row r="122" spans="39:40" x14ac:dyDescent="0.2">
      <c r="AM122" s="33"/>
      <c r="AN122" s="33"/>
    </row>
    <row r="123" spans="39:40" x14ac:dyDescent="0.2">
      <c r="AM123" s="33"/>
      <c r="AN123" s="33"/>
    </row>
    <row r="124" spans="39:40" x14ac:dyDescent="0.2">
      <c r="AM124" s="33"/>
      <c r="AN124" s="33"/>
    </row>
  </sheetData>
  <mergeCells count="6">
    <mergeCell ref="AF4:AP4"/>
    <mergeCell ref="B4:B6"/>
    <mergeCell ref="D4:M4"/>
    <mergeCell ref="Q4:Q6"/>
    <mergeCell ref="S4:AB4"/>
    <mergeCell ref="AD4:AD6"/>
  </mergeCells>
  <conditionalFormatting sqref="R19:AA19 AB19:AB22 R21:AA22 R23:AB27 R28:AA28 AB28:AB31 R32:AB33">
    <cfRule type="containsText" dxfId="11" priority="5" operator="containsText" text="volume or kilo">
      <formula>NOT(ISERROR(SEARCH("volume or kilo",R19)))</formula>
    </cfRule>
    <cfRule type="containsText" dxfId="10" priority="6" operator="containsText" text="volume">
      <formula>NOT(ISERROR(SEARCH("volume",R19)))</formula>
    </cfRule>
  </conditionalFormatting>
  <conditionalFormatting sqref="R8:AB18 R30:AA31 Q34:Z35">
    <cfRule type="containsText" dxfId="9" priority="71" operator="containsText" text="volume or kilo">
      <formula>NOT(ISERROR(SEARCH("volume or kilo",Q8)))</formula>
    </cfRule>
    <cfRule type="containsText" dxfId="8" priority="72" operator="containsText" text="volume">
      <formula>NOT(ISERROR(SEARCH("volume",Q8)))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R127"/>
  <sheetViews>
    <sheetView zoomScale="90" zoomScaleNormal="90" workbookViewId="0">
      <selection activeCell="C11" sqref="C11"/>
    </sheetView>
  </sheetViews>
  <sheetFormatPr baseColWidth="10" defaultColWidth="15.83203125" defaultRowHeight="15" x14ac:dyDescent="0.2"/>
  <cols>
    <col min="1" max="1" width="10.6640625" style="9" customWidth="1"/>
    <col min="2" max="2" width="25.6640625" style="9" customWidth="1"/>
    <col min="3" max="3" width="13.33203125" style="9" customWidth="1"/>
    <col min="4" max="4" width="11.5" style="9" customWidth="1"/>
    <col min="5" max="5" width="11.33203125" style="9" bestFit="1" customWidth="1"/>
    <col min="6" max="6" width="11.5" style="9" customWidth="1"/>
    <col min="7" max="7" width="11.33203125" style="9" bestFit="1" customWidth="1"/>
    <col min="8" max="8" width="11.5" style="9" customWidth="1"/>
    <col min="9" max="9" width="11.33203125" style="9" customWidth="1"/>
    <col min="10" max="10" width="11" style="9" customWidth="1"/>
    <col min="11" max="11" width="13" style="9" customWidth="1"/>
    <col min="12" max="14" width="12" style="9" customWidth="1"/>
    <col min="15" max="16" width="15.83203125" style="9"/>
    <col min="17" max="17" width="25.83203125" style="9" customWidth="1"/>
    <col min="18" max="27" width="15.83203125" style="12"/>
    <col min="28" max="28" width="15" style="12" customWidth="1"/>
    <col min="29" max="29" width="15.83203125" style="12"/>
    <col min="30" max="30" width="32.33203125" style="9" customWidth="1"/>
    <col min="31" max="32" width="12.6640625" style="12" customWidth="1"/>
    <col min="33" max="33" width="11.83203125" style="12" customWidth="1"/>
    <col min="34" max="34" width="12.33203125" style="12" customWidth="1"/>
    <col min="35" max="35" width="12.6640625" style="12" customWidth="1"/>
    <col min="36" max="36" width="13" style="12" customWidth="1"/>
    <col min="37" max="37" width="11.6640625" style="12" customWidth="1"/>
    <col min="38" max="38" width="12.5" style="12" customWidth="1"/>
    <col min="39" max="40" width="12" style="12" customWidth="1"/>
    <col min="41" max="41" width="11.5" style="12" customWidth="1"/>
    <col min="42" max="42" width="12.1640625" style="12" customWidth="1"/>
    <col min="43" max="16384" width="15.83203125" style="9"/>
  </cols>
  <sheetData>
    <row r="3" spans="1:44" ht="16" x14ac:dyDescent="0.2">
      <c r="A3" s="65"/>
      <c r="D3" s="15"/>
    </row>
    <row r="4" spans="1:44" ht="15" customHeight="1" x14ac:dyDescent="0.2">
      <c r="B4" s="179" t="s">
        <v>35</v>
      </c>
      <c r="C4" s="10"/>
      <c r="D4" s="180" t="s">
        <v>3</v>
      </c>
      <c r="E4" s="180"/>
      <c r="F4" s="180"/>
      <c r="G4" s="180"/>
      <c r="H4" s="180"/>
      <c r="I4" s="180"/>
      <c r="J4" s="180"/>
      <c r="K4" s="180"/>
      <c r="L4" s="180"/>
      <c r="M4" s="180"/>
      <c r="N4" s="11"/>
      <c r="Q4" s="179" t="s">
        <v>35</v>
      </c>
      <c r="R4" s="28"/>
      <c r="S4" s="180" t="s">
        <v>4</v>
      </c>
      <c r="T4" s="180"/>
      <c r="U4" s="180"/>
      <c r="V4" s="180"/>
      <c r="W4" s="180"/>
      <c r="X4" s="180"/>
      <c r="Y4" s="180"/>
      <c r="Z4" s="180"/>
      <c r="AA4" s="180"/>
      <c r="AB4" s="180"/>
      <c r="AD4" s="179" t="s">
        <v>35</v>
      </c>
      <c r="AE4" s="13"/>
      <c r="AF4" s="178" t="s">
        <v>0</v>
      </c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26"/>
      <c r="AR4" s="26"/>
    </row>
    <row r="5" spans="1:44" x14ac:dyDescent="0.2">
      <c r="B5" s="179"/>
      <c r="C5" s="1">
        <v>2019</v>
      </c>
      <c r="D5" s="1">
        <v>2020</v>
      </c>
      <c r="E5" s="1">
        <v>2021</v>
      </c>
      <c r="F5" s="1">
        <v>2022</v>
      </c>
      <c r="G5" s="1">
        <v>2023</v>
      </c>
      <c r="H5" s="1">
        <v>2024</v>
      </c>
      <c r="I5" s="1">
        <v>2025</v>
      </c>
      <c r="J5" s="1">
        <v>2026</v>
      </c>
      <c r="K5" s="1">
        <v>2027</v>
      </c>
      <c r="L5" s="1">
        <v>2028</v>
      </c>
      <c r="M5" s="1">
        <v>2029</v>
      </c>
      <c r="N5" s="1">
        <v>2030</v>
      </c>
      <c r="O5" s="14" t="s">
        <v>5</v>
      </c>
      <c r="Q5" s="179"/>
      <c r="R5" s="29">
        <v>2020</v>
      </c>
      <c r="S5" s="29">
        <v>2021</v>
      </c>
      <c r="T5" s="29">
        <v>2022</v>
      </c>
      <c r="U5" s="29">
        <v>2023</v>
      </c>
      <c r="V5" s="29">
        <v>2024</v>
      </c>
      <c r="W5" s="29">
        <v>2025</v>
      </c>
      <c r="X5" s="29">
        <v>2026</v>
      </c>
      <c r="Y5" s="29">
        <v>2027</v>
      </c>
      <c r="Z5" s="29">
        <v>2028</v>
      </c>
      <c r="AA5" s="29">
        <v>2029</v>
      </c>
      <c r="AB5" s="29">
        <v>2030</v>
      </c>
      <c r="AD5" s="179"/>
      <c r="AE5" s="29">
        <v>2019</v>
      </c>
      <c r="AF5" s="29">
        <v>2020</v>
      </c>
      <c r="AG5" s="29">
        <v>2021</v>
      </c>
      <c r="AH5" s="29">
        <v>2022</v>
      </c>
      <c r="AI5" s="29">
        <v>2023</v>
      </c>
      <c r="AJ5" s="29">
        <v>2024</v>
      </c>
      <c r="AK5" s="29">
        <v>2025</v>
      </c>
      <c r="AL5" s="29">
        <v>2026</v>
      </c>
      <c r="AM5" s="29">
        <v>2027</v>
      </c>
      <c r="AN5" s="29">
        <v>2028</v>
      </c>
      <c r="AO5" s="29">
        <v>2029</v>
      </c>
      <c r="AP5" s="29">
        <v>2030</v>
      </c>
      <c r="AQ5" s="26"/>
      <c r="AR5" s="26"/>
    </row>
    <row r="6" spans="1:44" x14ac:dyDescent="0.2">
      <c r="B6" s="179"/>
      <c r="E6" s="15"/>
      <c r="Q6" s="179"/>
      <c r="AB6" s="36"/>
      <c r="AC6" s="36"/>
      <c r="AD6" s="179"/>
      <c r="AE6" s="16"/>
      <c r="AG6" s="39"/>
      <c r="AQ6" s="46"/>
      <c r="AR6" s="47"/>
    </row>
    <row r="7" spans="1:44" x14ac:dyDescent="0.2">
      <c r="B7" s="17" t="s">
        <v>9</v>
      </c>
      <c r="C7" s="18">
        <f>Global!C31</f>
        <v>6490</v>
      </c>
      <c r="D7" s="18">
        <f>Global!D31</f>
        <v>6622.659090909091</v>
      </c>
      <c r="E7" s="18">
        <f>Global!E31</f>
        <v>6802.0090909090904</v>
      </c>
      <c r="F7" s="18">
        <f>Global!F31</f>
        <v>7027.8590909090917</v>
      </c>
      <c r="G7" s="18">
        <f>Global!G31</f>
        <v>7346.9636363636364</v>
      </c>
      <c r="H7" s="18">
        <f>Global!H31</f>
        <v>7735.5000000000009</v>
      </c>
      <c r="I7" s="18">
        <f>Global!I31</f>
        <v>8193.181818181818</v>
      </c>
      <c r="J7" s="18">
        <f>Global!J31</f>
        <v>8789.8545454545456</v>
      </c>
      <c r="K7" s="18">
        <f>Global!K31</f>
        <v>9548.2909090909088</v>
      </c>
      <c r="L7" s="18">
        <f>Global!L31</f>
        <v>10479.479545454547</v>
      </c>
      <c r="M7" s="18">
        <f>Global!M31</f>
        <v>11612.970909090911</v>
      </c>
      <c r="N7" s="18">
        <f>Global!N31</f>
        <v>12987.217500000001</v>
      </c>
      <c r="O7" s="19">
        <f>((N7/H7)^(1/7)-1)*100%</f>
        <v>7.6829185054990923E-2</v>
      </c>
      <c r="P7" s="24"/>
      <c r="Q7" s="17" t="s">
        <v>9</v>
      </c>
      <c r="R7" s="28">
        <f t="shared" ref="R7:AB18" si="0">(D7/C7-1)*100</f>
        <v>2.0440537890460853</v>
      </c>
      <c r="S7" s="28">
        <f t="shared" si="0"/>
        <v>2.7081267137273102</v>
      </c>
      <c r="T7" s="28">
        <f t="shared" si="0"/>
        <v>3.3203425191220326</v>
      </c>
      <c r="U7" s="28">
        <f t="shared" si="0"/>
        <v>4.5405655026197644</v>
      </c>
      <c r="V7" s="28">
        <f t="shared" si="0"/>
        <v>5.2883937210919552</v>
      </c>
      <c r="W7" s="28">
        <f t="shared" si="0"/>
        <v>5.9166416932559862</v>
      </c>
      <c r="X7" s="28">
        <f t="shared" si="0"/>
        <v>7.2825520110957109</v>
      </c>
      <c r="Y7" s="28">
        <f t="shared" si="0"/>
        <v>8.6285428241650521</v>
      </c>
      <c r="Z7" s="28">
        <f t="shared" si="0"/>
        <v>9.7524116643435743</v>
      </c>
      <c r="AA7" s="28">
        <f t="shared" si="0"/>
        <v>10.816294442103413</v>
      </c>
      <c r="AB7" s="28">
        <f t="shared" si="0"/>
        <v>11.83372111811023</v>
      </c>
      <c r="AC7" s="25"/>
      <c r="AD7" s="17" t="s">
        <v>9</v>
      </c>
      <c r="AE7" s="20">
        <v>1</v>
      </c>
      <c r="AF7" s="20">
        <v>1</v>
      </c>
      <c r="AG7" s="20">
        <v>1</v>
      </c>
      <c r="AH7" s="20">
        <v>1</v>
      </c>
      <c r="AI7" s="20">
        <v>1</v>
      </c>
      <c r="AJ7" s="20">
        <v>1</v>
      </c>
      <c r="AK7" s="20">
        <v>1</v>
      </c>
      <c r="AL7" s="20">
        <v>1</v>
      </c>
      <c r="AM7" s="20">
        <v>1</v>
      </c>
      <c r="AN7" s="20">
        <v>1</v>
      </c>
      <c r="AO7" s="20">
        <v>1</v>
      </c>
      <c r="AP7" s="20">
        <v>1</v>
      </c>
      <c r="AQ7" s="46"/>
      <c r="AR7" s="47"/>
    </row>
    <row r="8" spans="1:44" x14ac:dyDescent="0.2">
      <c r="B8" s="5" t="s">
        <v>10</v>
      </c>
      <c r="C8" s="21">
        <f>C7*AE8</f>
        <v>3472.15</v>
      </c>
      <c r="D8" s="21">
        <f t="shared" ref="D8:N8" si="1">D7*AF8</f>
        <v>3541.0154039256195</v>
      </c>
      <c r="E8" s="21">
        <f t="shared" si="1"/>
        <v>3634.7463123966941</v>
      </c>
      <c r="F8" s="21">
        <f t="shared" si="1"/>
        <v>3753.1962026859505</v>
      </c>
      <c r="G8" s="21">
        <f t="shared" si="1"/>
        <v>3921.27486446281</v>
      </c>
      <c r="H8" s="21">
        <f t="shared" si="1"/>
        <v>4126.1860227272728</v>
      </c>
      <c r="I8" s="21">
        <f t="shared" si="1"/>
        <v>4367.7107438016528</v>
      </c>
      <c r="J8" s="21">
        <f t="shared" si="1"/>
        <v>4682.9947785123959</v>
      </c>
      <c r="K8" s="21">
        <f t="shared" si="1"/>
        <v>5084.0308958677679</v>
      </c>
      <c r="L8" s="21">
        <f t="shared" si="1"/>
        <v>5576.5121381198342</v>
      </c>
      <c r="M8" s="21">
        <f t="shared" si="1"/>
        <v>6175.9890743801652</v>
      </c>
      <c r="N8" s="21">
        <f t="shared" si="1"/>
        <v>6902.7061012499998</v>
      </c>
      <c r="O8" s="19">
        <f t="shared" ref="O8:O18" si="2">((N8/H8)^(1/7)-1)*100%</f>
        <v>7.6277765588495638E-2</v>
      </c>
      <c r="P8" s="24"/>
      <c r="Q8" s="5" t="s">
        <v>10</v>
      </c>
      <c r="R8" s="30">
        <f t="shared" si="0"/>
        <v>1.9833648870474896</v>
      </c>
      <c r="S8" s="30">
        <f t="shared" si="0"/>
        <v>2.6470065159039713</v>
      </c>
      <c r="T8" s="30">
        <f t="shared" si="0"/>
        <v>3.258821389687383</v>
      </c>
      <c r="U8" s="30">
        <f t="shared" si="0"/>
        <v>4.4782807159555071</v>
      </c>
      <c r="V8" s="30">
        <f t="shared" si="0"/>
        <v>5.2256259850974374</v>
      </c>
      <c r="W8" s="30">
        <f t="shared" si="0"/>
        <v>5.8534617621224028</v>
      </c>
      <c r="X8" s="30">
        <f t="shared" si="0"/>
        <v>7.2185191099976453</v>
      </c>
      <c r="Y8" s="30">
        <f t="shared" si="0"/>
        <v>8.5636678305835101</v>
      </c>
      <c r="Z8" s="30">
        <f t="shared" si="0"/>
        <v>9.6868263065110085</v>
      </c>
      <c r="AA8" s="30">
        <f t="shared" si="0"/>
        <v>10.750033738157505</v>
      </c>
      <c r="AB8" s="30">
        <f t="shared" si="0"/>
        <v>11.766812054193432</v>
      </c>
      <c r="AC8" s="132">
        <v>0.01</v>
      </c>
      <c r="AD8" s="5" t="s">
        <v>10</v>
      </c>
      <c r="AE8" s="76">
        <v>0.53500000000000003</v>
      </c>
      <c r="AF8" s="76">
        <v>0.53468181818181815</v>
      </c>
      <c r="AG8" s="76">
        <v>0.53436363636363637</v>
      </c>
      <c r="AH8" s="76">
        <v>0.53404545454545449</v>
      </c>
      <c r="AI8" s="76">
        <v>0.53372727272727272</v>
      </c>
      <c r="AJ8" s="76">
        <v>0.53340909090909083</v>
      </c>
      <c r="AK8" s="76">
        <v>0.53309090909090906</v>
      </c>
      <c r="AL8" s="76">
        <v>0.53277272727272718</v>
      </c>
      <c r="AM8" s="76">
        <v>0.5324545454545454</v>
      </c>
      <c r="AN8" s="76">
        <v>0.53213636363636352</v>
      </c>
      <c r="AO8" s="76">
        <v>0.53181818181818175</v>
      </c>
      <c r="AP8" s="76">
        <v>0.53149999999999997</v>
      </c>
      <c r="AQ8" s="46"/>
      <c r="AR8" s="47"/>
    </row>
    <row r="9" spans="1:44" s="78" customFormat="1" x14ac:dyDescent="0.2">
      <c r="B9" s="91" t="s">
        <v>11</v>
      </c>
      <c r="C9" s="79">
        <f>C7*AE9</f>
        <v>1272.04</v>
      </c>
      <c r="D9" s="79">
        <f t="shared" ref="D9:N9" si="3">D7*AF9</f>
        <v>1295.9339721074382</v>
      </c>
      <c r="E9" s="79">
        <f t="shared" si="3"/>
        <v>1328.8652305785124</v>
      </c>
      <c r="F9" s="79">
        <f t="shared" si="3"/>
        <v>1370.7519708677687</v>
      </c>
      <c r="G9" s="79">
        <f t="shared" si="3"/>
        <v>1430.6541917355373</v>
      </c>
      <c r="H9" s="79">
        <f t="shared" si="3"/>
        <v>1503.851522727273</v>
      </c>
      <c r="I9" s="79">
        <f t="shared" si="3"/>
        <v>1590.2221074380168</v>
      </c>
      <c r="J9" s="79">
        <f t="shared" si="3"/>
        <v>1703.2340876033061</v>
      </c>
      <c r="K9" s="79">
        <f t="shared" si="3"/>
        <v>1847.1602776859504</v>
      </c>
      <c r="L9" s="79">
        <f t="shared" si="3"/>
        <v>2023.9685722107445</v>
      </c>
      <c r="M9" s="79">
        <f t="shared" si="3"/>
        <v>2239.1919361983478</v>
      </c>
      <c r="N9" s="79">
        <f t="shared" si="3"/>
        <v>2500.03936875</v>
      </c>
      <c r="O9" s="105">
        <f t="shared" si="2"/>
        <v>7.5312156071964509E-2</v>
      </c>
      <c r="P9" s="80"/>
      <c r="Q9" s="91" t="s">
        <v>11</v>
      </c>
      <c r="R9" s="81">
        <f t="shared" si="0"/>
        <v>1.8783978575703797</v>
      </c>
      <c r="S9" s="81">
        <f t="shared" si="0"/>
        <v>2.541121629639953</v>
      </c>
      <c r="T9" s="81">
        <f t="shared" si="0"/>
        <v>3.152068345638126</v>
      </c>
      <c r="U9" s="81">
        <f t="shared" si="0"/>
        <v>4.3700262440510507</v>
      </c>
      <c r="V9" s="81">
        <f t="shared" si="0"/>
        <v>5.1163538620705662</v>
      </c>
      <c r="W9" s="81">
        <f t="shared" si="0"/>
        <v>5.7432920341835558</v>
      </c>
      <c r="X9" s="81">
        <f t="shared" si="0"/>
        <v>7.1066789750119375</v>
      </c>
      <c r="Y9" s="81">
        <f t="shared" si="0"/>
        <v>8.4501708326639289</v>
      </c>
      <c r="Z9" s="81">
        <f t="shared" si="0"/>
        <v>9.5718978293693358</v>
      </c>
      <c r="AA9" s="81">
        <f t="shared" si="0"/>
        <v>10.633730530337182</v>
      </c>
      <c r="AB9" s="81">
        <f t="shared" si="0"/>
        <v>11.649177023855906</v>
      </c>
      <c r="AC9" s="135">
        <v>0.01</v>
      </c>
      <c r="AD9" s="91" t="s">
        <v>11</v>
      </c>
      <c r="AE9" s="85">
        <v>0.19600000000000001</v>
      </c>
      <c r="AF9" s="85">
        <v>0.19568181818181821</v>
      </c>
      <c r="AG9" s="85">
        <v>0.19536363636363638</v>
      </c>
      <c r="AH9" s="85">
        <v>0.19504545454545455</v>
      </c>
      <c r="AI9" s="85">
        <v>0.19472727272727275</v>
      </c>
      <c r="AJ9" s="85">
        <v>0.19440909090909092</v>
      </c>
      <c r="AK9" s="85">
        <v>0.19409090909090912</v>
      </c>
      <c r="AL9" s="85">
        <v>0.19377272727272729</v>
      </c>
      <c r="AM9" s="85">
        <v>0.19345454545454546</v>
      </c>
      <c r="AN9" s="85">
        <v>0.19313636363636366</v>
      </c>
      <c r="AO9" s="85">
        <v>0.19281818181818183</v>
      </c>
      <c r="AP9" s="85">
        <v>0.1925</v>
      </c>
      <c r="AQ9" s="83"/>
      <c r="AR9" s="83"/>
    </row>
    <row r="10" spans="1:44" s="78" customFormat="1" x14ac:dyDescent="0.2">
      <c r="B10" s="91" t="s">
        <v>12</v>
      </c>
      <c r="C10" s="79">
        <f>C7*AE10</f>
        <v>720.39</v>
      </c>
      <c r="D10" s="79">
        <f t="shared" ref="D10:N10" si="4">D7*AF10</f>
        <v>734.51309917355366</v>
      </c>
      <c r="E10" s="79">
        <f t="shared" si="4"/>
        <v>753.78628016528921</v>
      </c>
      <c r="F10" s="79">
        <f t="shared" si="4"/>
        <v>778.17567024793402</v>
      </c>
      <c r="G10" s="79">
        <f t="shared" si="4"/>
        <v>812.84134049586771</v>
      </c>
      <c r="H10" s="79">
        <f t="shared" si="4"/>
        <v>855.12436363636368</v>
      </c>
      <c r="I10" s="79">
        <f t="shared" si="4"/>
        <v>904.97417355371886</v>
      </c>
      <c r="J10" s="79">
        <f t="shared" si="4"/>
        <v>970.08031074380165</v>
      </c>
      <c r="K10" s="79">
        <f t="shared" si="4"/>
        <v>1052.916079338843</v>
      </c>
      <c r="L10" s="79">
        <f t="shared" si="4"/>
        <v>1154.6481099173554</v>
      </c>
      <c r="M10" s="79">
        <f t="shared" si="4"/>
        <v>1278.4825246280993</v>
      </c>
      <c r="N10" s="79">
        <f t="shared" si="4"/>
        <v>1428.5939250000001</v>
      </c>
      <c r="O10" s="105">
        <f t="shared" si="2"/>
        <v>7.6068531886828827E-2</v>
      </c>
      <c r="P10" s="80"/>
      <c r="Q10" s="91" t="s">
        <v>12</v>
      </c>
      <c r="R10" s="81">
        <f t="shared" si="0"/>
        <v>1.9604796254186763</v>
      </c>
      <c r="S10" s="81">
        <f t="shared" ref="S10:S18" si="5">(E10/D10-1)*100</f>
        <v>2.6239397246177187</v>
      </c>
      <c r="T10" s="81">
        <f t="shared" ref="T10:T18" si="6">(F10/E10-1)*100</f>
        <v>3.2355842397790546</v>
      </c>
      <c r="U10" s="81">
        <f t="shared" ref="U10:U18" si="7">(G10/F10-1)*100</f>
        <v>4.4547358100888612</v>
      </c>
      <c r="V10" s="81">
        <f t="shared" ref="V10:V18" si="8">(H10/G10-1)*100</f>
        <v>5.2018790179521934</v>
      </c>
      <c r="W10" s="81">
        <f t="shared" ref="W10:W18" si="9">(I10/H10-1)*100</f>
        <v>5.8295391918635087</v>
      </c>
      <c r="X10" s="81">
        <f t="shared" ref="X10:X18" si="10">(J10/I10-1)*100</f>
        <v>7.1942536143787761</v>
      </c>
      <c r="Y10" s="81">
        <f t="shared" ref="Y10:Y18" si="11">(K10/J10-1)*100</f>
        <v>8.5390629701089118</v>
      </c>
      <c r="Z10" s="81">
        <f t="shared" ref="Z10:Z18" si="12">(L10/K10-1)*100</f>
        <v>9.661931522823064</v>
      </c>
      <c r="AA10" s="81">
        <f t="shared" ref="AA10:AA18" si="13">(M10/L10-1)*100</f>
        <v>10.724861855930069</v>
      </c>
      <c r="AB10" s="81">
        <f t="shared" ref="AB10:AB18" si="14">(N10/M10-1)*100</f>
        <v>11.741372876063917</v>
      </c>
      <c r="AC10" s="112">
        <v>0.03</v>
      </c>
      <c r="AD10" s="91" t="s">
        <v>12</v>
      </c>
      <c r="AE10" s="82">
        <v>0.111</v>
      </c>
      <c r="AF10" s="82">
        <v>0.1109090909090909</v>
      </c>
      <c r="AG10" s="82">
        <v>0.11081818181818182</v>
      </c>
      <c r="AH10" s="82">
        <v>0.11072727272727273</v>
      </c>
      <c r="AI10" s="82">
        <v>0.11063636363636363</v>
      </c>
      <c r="AJ10" s="82">
        <v>0.11054545454545454</v>
      </c>
      <c r="AK10" s="82">
        <v>0.11045454545454544</v>
      </c>
      <c r="AL10" s="82">
        <v>0.11036363636363636</v>
      </c>
      <c r="AM10" s="82">
        <v>0.11027272727272727</v>
      </c>
      <c r="AN10" s="82">
        <v>0.11018181818181817</v>
      </c>
      <c r="AO10" s="82">
        <v>0.11009090909090909</v>
      </c>
      <c r="AP10" s="82">
        <v>0.11</v>
      </c>
      <c r="AQ10" s="83"/>
      <c r="AR10" s="83"/>
    </row>
    <row r="11" spans="1:44" s="78" customFormat="1" x14ac:dyDescent="0.2">
      <c r="B11" s="90" t="s">
        <v>14</v>
      </c>
      <c r="C11" s="79">
        <f t="shared" ref="C11:N11" si="15">C7*AE11</f>
        <v>892.37500000000011</v>
      </c>
      <c r="D11" s="79">
        <f t="shared" si="15"/>
        <v>910.91665495867778</v>
      </c>
      <c r="E11" s="79">
        <f t="shared" si="15"/>
        <v>935.89461446280984</v>
      </c>
      <c r="F11" s="79">
        <f t="shared" si="15"/>
        <v>967.28896942148776</v>
      </c>
      <c r="G11" s="79">
        <f t="shared" si="15"/>
        <v>1011.543311570248</v>
      </c>
      <c r="H11" s="79">
        <f t="shared" si="15"/>
        <v>1065.3893181818185</v>
      </c>
      <c r="I11" s="79">
        <f t="shared" si="15"/>
        <v>1128.7970041322317</v>
      </c>
      <c r="J11" s="79">
        <f t="shared" si="15"/>
        <v>1211.4017719008266</v>
      </c>
      <c r="K11" s="79">
        <f t="shared" si="15"/>
        <v>1316.3621057851242</v>
      </c>
      <c r="L11" s="79">
        <f t="shared" si="15"/>
        <v>1445.21549731405</v>
      </c>
      <c r="M11" s="79">
        <f t="shared" si="15"/>
        <v>1602.0621231404964</v>
      </c>
      <c r="N11" s="79">
        <f t="shared" si="15"/>
        <v>1792.2360150000002</v>
      </c>
      <c r="O11" s="105">
        <f t="shared" si="2"/>
        <v>7.7133546142925224E-2</v>
      </c>
      <c r="P11" s="80"/>
      <c r="Q11" s="90" t="s">
        <v>14</v>
      </c>
      <c r="R11" s="81">
        <f t="shared" si="0"/>
        <v>2.0777873605466013</v>
      </c>
      <c r="S11" s="81">
        <f t="shared" si="5"/>
        <v>2.7420685930114042</v>
      </c>
      <c r="T11" s="81">
        <f t="shared" si="6"/>
        <v>3.3544754370338881</v>
      </c>
      <c r="U11" s="81">
        <f t="shared" si="7"/>
        <v>4.575090127950876</v>
      </c>
      <c r="V11" s="81">
        <f t="shared" si="8"/>
        <v>5.3231538378701426</v>
      </c>
      <c r="W11" s="81">
        <f t="shared" si="9"/>
        <v>5.9515976806135074</v>
      </c>
      <c r="X11" s="81">
        <f t="shared" si="10"/>
        <v>7.3179471123860473</v>
      </c>
      <c r="Y11" s="81">
        <f t="shared" si="11"/>
        <v>8.6643701799777659</v>
      </c>
      <c r="Z11" s="81">
        <f t="shared" si="12"/>
        <v>9.788597754572482</v>
      </c>
      <c r="AA11" s="81">
        <f t="shared" si="13"/>
        <v>10.852819258992707</v>
      </c>
      <c r="AB11" s="81">
        <f t="shared" si="14"/>
        <v>11.870569131658204</v>
      </c>
      <c r="AC11" s="112">
        <v>0.02</v>
      </c>
      <c r="AD11" s="90" t="s">
        <v>14</v>
      </c>
      <c r="AE11" s="82">
        <v>0.13750000000000001</v>
      </c>
      <c r="AF11" s="82">
        <v>0.13754545454545455</v>
      </c>
      <c r="AG11" s="82">
        <v>0.1375909090909091</v>
      </c>
      <c r="AH11" s="82">
        <v>0.13763636363636364</v>
      </c>
      <c r="AI11" s="82">
        <v>0.13768181818181818</v>
      </c>
      <c r="AJ11" s="82">
        <v>0.13772727272727275</v>
      </c>
      <c r="AK11" s="82">
        <v>0.1377727272727273</v>
      </c>
      <c r="AL11" s="82">
        <v>0.13781818181818184</v>
      </c>
      <c r="AM11" s="82">
        <v>0.13786363636363638</v>
      </c>
      <c r="AN11" s="82">
        <v>0.13790909090909093</v>
      </c>
      <c r="AO11" s="82">
        <v>0.13795454545454547</v>
      </c>
      <c r="AP11" s="82">
        <v>0.13800000000000001</v>
      </c>
      <c r="AQ11" s="83"/>
      <c r="AR11" s="83"/>
    </row>
    <row r="12" spans="1:44" s="78" customFormat="1" x14ac:dyDescent="0.2">
      <c r="B12" s="91" t="s">
        <v>13</v>
      </c>
      <c r="C12" s="79">
        <f t="shared" ref="C12:N12" si="16">C7*AE12</f>
        <v>587.34500000000003</v>
      </c>
      <c r="D12" s="79">
        <f t="shared" si="16"/>
        <v>599.6516776859504</v>
      </c>
      <c r="E12" s="79">
        <f t="shared" si="16"/>
        <v>616.2001871900826</v>
      </c>
      <c r="F12" s="79">
        <f t="shared" si="16"/>
        <v>636.97959214876039</v>
      </c>
      <c r="G12" s="79">
        <f t="shared" si="16"/>
        <v>666.236020661157</v>
      </c>
      <c r="H12" s="79">
        <f t="shared" si="16"/>
        <v>701.82081818181825</v>
      </c>
      <c r="I12" s="79">
        <f t="shared" si="16"/>
        <v>743.71745867768595</v>
      </c>
      <c r="J12" s="79">
        <f t="shared" si="16"/>
        <v>798.27860826446272</v>
      </c>
      <c r="K12" s="79">
        <f t="shared" si="16"/>
        <v>867.59243305785128</v>
      </c>
      <c r="L12" s="79">
        <f t="shared" si="16"/>
        <v>952.67995867768616</v>
      </c>
      <c r="M12" s="79">
        <f t="shared" si="16"/>
        <v>1056.2524904132233</v>
      </c>
      <c r="N12" s="79">
        <f t="shared" si="16"/>
        <v>1181.8367925</v>
      </c>
      <c r="O12" s="105">
        <f t="shared" si="2"/>
        <v>7.7291013494086291E-2</v>
      </c>
      <c r="P12" s="80"/>
      <c r="Q12" s="91" t="s">
        <v>13</v>
      </c>
      <c r="R12" s="81">
        <f t="shared" si="0"/>
        <v>2.0953064529280807</v>
      </c>
      <c r="S12" s="81">
        <f t="shared" si="5"/>
        <v>2.7596870183024702</v>
      </c>
      <c r="T12" s="81">
        <f t="shared" si="6"/>
        <v>3.3721841360408122</v>
      </c>
      <c r="U12" s="81">
        <f t="shared" si="7"/>
        <v>4.5929930680673969</v>
      </c>
      <c r="V12" s="81">
        <f t="shared" si="8"/>
        <v>5.3411698582955136</v>
      </c>
      <c r="W12" s="81">
        <f t="shared" si="9"/>
        <v>5.9697061430021181</v>
      </c>
      <c r="X12" s="81">
        <f t="shared" si="10"/>
        <v>7.3362738698894203</v>
      </c>
      <c r="Y12" s="81">
        <f t="shared" si="11"/>
        <v>8.6829114642172023</v>
      </c>
      <c r="Z12" s="81">
        <f t="shared" si="12"/>
        <v>9.8073153220045626</v>
      </c>
      <c r="AA12" s="81">
        <f t="shared" si="13"/>
        <v>10.87170258932446</v>
      </c>
      <c r="AB12" s="81">
        <f t="shared" si="14"/>
        <v>11.889610034211229</v>
      </c>
      <c r="AC12" s="112">
        <v>0.04</v>
      </c>
      <c r="AD12" s="91" t="s">
        <v>13</v>
      </c>
      <c r="AE12" s="82">
        <v>9.0499999999999997E-2</v>
      </c>
      <c r="AF12" s="82">
        <v>9.054545454545454E-2</v>
      </c>
      <c r="AG12" s="82">
        <v>9.0590909090909097E-2</v>
      </c>
      <c r="AH12" s="82">
        <v>9.063636363636364E-2</v>
      </c>
      <c r="AI12" s="82">
        <v>9.0681818181818183E-2</v>
      </c>
      <c r="AJ12" s="82">
        <v>9.0727272727272726E-2</v>
      </c>
      <c r="AK12" s="82">
        <v>9.0772727272727269E-2</v>
      </c>
      <c r="AL12" s="82">
        <v>9.0818181818181812E-2</v>
      </c>
      <c r="AM12" s="82">
        <v>9.0863636363636369E-2</v>
      </c>
      <c r="AN12" s="82">
        <v>9.0909090909090912E-2</v>
      </c>
      <c r="AO12" s="82">
        <v>9.0954545454545455E-2</v>
      </c>
      <c r="AP12" s="82">
        <v>9.0999999999999998E-2</v>
      </c>
      <c r="AQ12" s="83"/>
      <c r="AR12" s="83"/>
    </row>
    <row r="13" spans="1:44" x14ac:dyDescent="0.2">
      <c r="B13" s="5" t="s">
        <v>15</v>
      </c>
      <c r="C13" s="21">
        <f t="shared" ref="C13:N13" si="17">C7*AE13</f>
        <v>3017.85</v>
      </c>
      <c r="D13" s="21">
        <f t="shared" si="17"/>
        <v>3081.6436869834711</v>
      </c>
      <c r="E13" s="21">
        <f t="shared" si="17"/>
        <v>3167.2627785123964</v>
      </c>
      <c r="F13" s="21">
        <f t="shared" si="17"/>
        <v>3274.6628882231407</v>
      </c>
      <c r="G13" s="21">
        <f t="shared" si="17"/>
        <v>3425.6887719008264</v>
      </c>
      <c r="H13" s="21">
        <f t="shared" si="17"/>
        <v>3609.3139772727272</v>
      </c>
      <c r="I13" s="21">
        <f t="shared" si="17"/>
        <v>3825.4710743801652</v>
      </c>
      <c r="J13" s="21">
        <f t="shared" si="17"/>
        <v>4106.8597669421488</v>
      </c>
      <c r="K13" s="21">
        <f t="shared" si="17"/>
        <v>4464.26001322314</v>
      </c>
      <c r="L13" s="21">
        <f t="shared" si="17"/>
        <v>4902.9674073347114</v>
      </c>
      <c r="M13" s="21">
        <f t="shared" si="17"/>
        <v>5436.9818347107448</v>
      </c>
      <c r="N13" s="21">
        <f t="shared" si="17"/>
        <v>6084.5113987500008</v>
      </c>
      <c r="O13" s="19">
        <f t="shared" si="2"/>
        <v>7.7457502074006257E-2</v>
      </c>
      <c r="P13" s="24"/>
      <c r="Q13" s="5" t="s">
        <v>15</v>
      </c>
      <c r="R13" s="30">
        <f t="shared" si="0"/>
        <v>2.113878654786383</v>
      </c>
      <c r="S13" s="30">
        <f t="shared" si="5"/>
        <v>2.7783579227725452</v>
      </c>
      <c r="T13" s="30">
        <f t="shared" si="6"/>
        <v>3.3909440807809554</v>
      </c>
      <c r="U13" s="30">
        <f t="shared" si="7"/>
        <v>4.6119520950027804</v>
      </c>
      <c r="V13" s="30">
        <f t="shared" si="8"/>
        <v>5.360241913336794</v>
      </c>
      <c r="W13" s="30">
        <f t="shared" si="9"/>
        <v>5.9888693105821345</v>
      </c>
      <c r="X13" s="30">
        <f t="shared" si="10"/>
        <v>7.3556612268353527</v>
      </c>
      <c r="Y13" s="30">
        <f t="shared" si="11"/>
        <v>8.7025188723963041</v>
      </c>
      <c r="Z13" s="30">
        <f t="shared" si="12"/>
        <v>9.8271022031001678</v>
      </c>
      <c r="AA13" s="30">
        <f t="shared" si="13"/>
        <v>10.891657704621128</v>
      </c>
      <c r="AB13" s="30">
        <f t="shared" si="14"/>
        <v>11.909724617899254</v>
      </c>
      <c r="AC13" s="24">
        <v>0.02</v>
      </c>
      <c r="AD13" s="5" t="s">
        <v>15</v>
      </c>
      <c r="AE13" s="4">
        <v>0.46499999999999997</v>
      </c>
      <c r="AF13" s="4">
        <v>0.4653181818181818</v>
      </c>
      <c r="AG13" s="4">
        <v>0.46563636363636363</v>
      </c>
      <c r="AH13" s="4">
        <v>0.46595454545454545</v>
      </c>
      <c r="AI13" s="4">
        <v>0.46627272727272728</v>
      </c>
      <c r="AJ13" s="4">
        <v>0.46659090909090906</v>
      </c>
      <c r="AK13" s="4">
        <v>0.46690909090909088</v>
      </c>
      <c r="AL13" s="4">
        <v>0.46722727272727271</v>
      </c>
      <c r="AM13" s="4">
        <v>0.46754545454545454</v>
      </c>
      <c r="AN13" s="4">
        <v>0.46786363636363637</v>
      </c>
      <c r="AO13" s="4">
        <v>0.4681818181818182</v>
      </c>
      <c r="AP13" s="4">
        <v>0.46850000000000003</v>
      </c>
      <c r="AQ13" s="26"/>
      <c r="AR13" s="26"/>
    </row>
    <row r="14" spans="1:44" s="78" customFormat="1" x14ac:dyDescent="0.2">
      <c r="B14" s="91" t="s">
        <v>16</v>
      </c>
      <c r="C14" s="79">
        <f t="shared" ref="C14:N14" si="18">C7*AE14</f>
        <v>746.35</v>
      </c>
      <c r="D14" s="79">
        <f t="shared" si="18"/>
        <v>762.20785537190091</v>
      </c>
      <c r="E14" s="79">
        <f t="shared" si="18"/>
        <v>783.46777438016534</v>
      </c>
      <c r="F14" s="79">
        <f t="shared" si="18"/>
        <v>810.12048429752076</v>
      </c>
      <c r="G14" s="79">
        <f t="shared" si="18"/>
        <v>847.57244132231415</v>
      </c>
      <c r="H14" s="79">
        <f t="shared" si="18"/>
        <v>893.0986363636365</v>
      </c>
      <c r="I14" s="79">
        <f t="shared" si="18"/>
        <v>946.68491735537202</v>
      </c>
      <c r="J14" s="79">
        <f t="shared" si="18"/>
        <v>1016.4268165289258</v>
      </c>
      <c r="K14" s="79">
        <f t="shared" si="18"/>
        <v>1104.9976661157025</v>
      </c>
      <c r="L14" s="79">
        <f t="shared" si="18"/>
        <v>1213.7142673553724</v>
      </c>
      <c r="M14" s="79">
        <f t="shared" si="18"/>
        <v>1346.0489008264467</v>
      </c>
      <c r="N14" s="79">
        <f t="shared" si="18"/>
        <v>1506.5172300000002</v>
      </c>
      <c r="O14" s="105">
        <f t="shared" si="2"/>
        <v>7.7554486675004197E-2</v>
      </c>
      <c r="P14" s="80"/>
      <c r="Q14" s="91" t="s">
        <v>16</v>
      </c>
      <c r="R14" s="81">
        <f t="shared" si="0"/>
        <v>2.1247210252429705</v>
      </c>
      <c r="S14" s="81">
        <f t="shared" si="5"/>
        <v>2.7892547759024611</v>
      </c>
      <c r="T14" s="81">
        <f t="shared" si="6"/>
        <v>3.4018897507866797</v>
      </c>
      <c r="U14" s="81">
        <f t="shared" si="7"/>
        <v>4.6230107435524248</v>
      </c>
      <c r="V14" s="81">
        <f t="shared" si="8"/>
        <v>5.3713632984923487</v>
      </c>
      <c r="W14" s="81">
        <f t="shared" si="9"/>
        <v>6.0000406237231241</v>
      </c>
      <c r="X14" s="81">
        <f t="shared" si="10"/>
        <v>7.3669599985159095</v>
      </c>
      <c r="Y14" s="81">
        <f t="shared" si="11"/>
        <v>8.713942621982774</v>
      </c>
      <c r="Z14" s="81">
        <f t="shared" si="12"/>
        <v>9.8386272273163655</v>
      </c>
      <c r="AA14" s="81">
        <f t="shared" si="13"/>
        <v>10.903277404773814</v>
      </c>
      <c r="AB14" s="81">
        <f t="shared" si="14"/>
        <v>11.921433840555796</v>
      </c>
      <c r="AC14" s="112">
        <v>0.02</v>
      </c>
      <c r="AD14" s="91" t="s">
        <v>16</v>
      </c>
      <c r="AE14" s="85">
        <v>0.115</v>
      </c>
      <c r="AF14" s="85">
        <v>0.1150909090909091</v>
      </c>
      <c r="AG14" s="85">
        <v>0.11518181818181819</v>
      </c>
      <c r="AH14" s="85">
        <v>0.11527272727272728</v>
      </c>
      <c r="AI14" s="85">
        <v>0.11536363636363638</v>
      </c>
      <c r="AJ14" s="85">
        <v>0.11545454545454546</v>
      </c>
      <c r="AK14" s="85">
        <v>0.11554545454545456</v>
      </c>
      <c r="AL14" s="85">
        <v>0.11563636363636365</v>
      </c>
      <c r="AM14" s="85">
        <v>0.11572727272727273</v>
      </c>
      <c r="AN14" s="85">
        <v>0.11581818181818183</v>
      </c>
      <c r="AO14" s="85">
        <v>0.11590909090909092</v>
      </c>
      <c r="AP14" s="85">
        <v>0.11600000000000001</v>
      </c>
      <c r="AQ14" s="83"/>
      <c r="AR14" s="83"/>
    </row>
    <row r="15" spans="1:44" s="78" customFormat="1" x14ac:dyDescent="0.2">
      <c r="B15" s="91" t="s">
        <v>17</v>
      </c>
      <c r="C15" s="79">
        <f t="shared" ref="C15:N15" si="19">C7*AE15</f>
        <v>655.49</v>
      </c>
      <c r="D15" s="79">
        <f t="shared" si="19"/>
        <v>669.18959814049595</v>
      </c>
      <c r="E15" s="79">
        <f t="shared" si="19"/>
        <v>687.6212826446282</v>
      </c>
      <c r="F15" s="79">
        <f t="shared" si="19"/>
        <v>710.77211260330591</v>
      </c>
      <c r="G15" s="79">
        <f t="shared" si="19"/>
        <v>743.37913884297529</v>
      </c>
      <c r="H15" s="79">
        <f t="shared" si="19"/>
        <v>783.04356818181839</v>
      </c>
      <c r="I15" s="79">
        <f t="shared" si="19"/>
        <v>829.74586776859508</v>
      </c>
      <c r="J15" s="79">
        <f t="shared" si="19"/>
        <v>890.57208099173556</v>
      </c>
      <c r="K15" s="79">
        <f t="shared" si="19"/>
        <v>967.84948760330587</v>
      </c>
      <c r="L15" s="79">
        <f t="shared" si="19"/>
        <v>1062.714493904959</v>
      </c>
      <c r="M15" s="79">
        <f t="shared" si="19"/>
        <v>1178.1886849586781</v>
      </c>
      <c r="N15" s="79">
        <f t="shared" si="19"/>
        <v>1318.2025762500002</v>
      </c>
      <c r="O15" s="105">
        <f t="shared" si="2"/>
        <v>7.7243164610910187E-2</v>
      </c>
      <c r="P15" s="80"/>
      <c r="Q15" s="91" t="s">
        <v>17</v>
      </c>
      <c r="R15" s="81">
        <f t="shared" si="0"/>
        <v>2.0899782056928329</v>
      </c>
      <c r="S15" s="81">
        <f t="shared" si="5"/>
        <v>2.754329199878347</v>
      </c>
      <c r="T15" s="81">
        <f t="shared" si="6"/>
        <v>3.3667995076648083</v>
      </c>
      <c r="U15" s="81">
        <f t="shared" si="7"/>
        <v>4.5875500264411562</v>
      </c>
      <c r="V15" s="81">
        <f t="shared" si="8"/>
        <v>5.335693089340432</v>
      </c>
      <c r="W15" s="81">
        <f t="shared" si="9"/>
        <v>5.964201927514301</v>
      </c>
      <c r="X15" s="81">
        <f t="shared" si="10"/>
        <v>7.3307039644220362</v>
      </c>
      <c r="Y15" s="81">
        <f t="shared" si="11"/>
        <v>8.6772770291108525</v>
      </c>
      <c r="Z15" s="81">
        <f t="shared" si="12"/>
        <v>9.8016279924441729</v>
      </c>
      <c r="AA15" s="81">
        <f t="shared" si="13"/>
        <v>10.865965573632819</v>
      </c>
      <c r="AB15" s="81">
        <f t="shared" si="14"/>
        <v>11.883825831872819</v>
      </c>
      <c r="AC15" s="112">
        <v>0.03</v>
      </c>
      <c r="AD15" s="91" t="s">
        <v>17</v>
      </c>
      <c r="AE15" s="82">
        <v>0.10100000000000001</v>
      </c>
      <c r="AF15" s="82">
        <v>0.10104545454545455</v>
      </c>
      <c r="AG15" s="82">
        <v>0.10109090909090911</v>
      </c>
      <c r="AH15" s="82">
        <v>0.10113636363636365</v>
      </c>
      <c r="AI15" s="82">
        <v>0.10118181818181819</v>
      </c>
      <c r="AJ15" s="82">
        <v>0.10122727272727274</v>
      </c>
      <c r="AK15" s="82">
        <v>0.10127272727272728</v>
      </c>
      <c r="AL15" s="82">
        <v>0.10131818181818182</v>
      </c>
      <c r="AM15" s="82">
        <v>0.10136363636363638</v>
      </c>
      <c r="AN15" s="82">
        <v>0.10140909090909092</v>
      </c>
      <c r="AO15" s="82">
        <v>0.10145454545454546</v>
      </c>
      <c r="AP15" s="82">
        <v>0.10150000000000001</v>
      </c>
      <c r="AQ15" s="83"/>
      <c r="AR15" s="83"/>
    </row>
    <row r="16" spans="1:44" s="78" customFormat="1" x14ac:dyDescent="0.2">
      <c r="B16" s="91" t="s">
        <v>18</v>
      </c>
      <c r="C16" s="79">
        <f t="shared" ref="C16:N16" si="20">C7*AE16</f>
        <v>778.8</v>
      </c>
      <c r="D16" s="79">
        <f t="shared" si="20"/>
        <v>794.35785495867776</v>
      </c>
      <c r="E16" s="79">
        <f t="shared" si="20"/>
        <v>815.49905355371891</v>
      </c>
      <c r="F16" s="79">
        <f t="shared" si="20"/>
        <v>842.19307760330594</v>
      </c>
      <c r="G16" s="79">
        <f t="shared" si="20"/>
        <v>880.03266247933891</v>
      </c>
      <c r="H16" s="79">
        <f t="shared" si="20"/>
        <v>926.15031818181842</v>
      </c>
      <c r="I16" s="79">
        <f t="shared" si="20"/>
        <v>980.50041322314053</v>
      </c>
      <c r="J16" s="79">
        <f t="shared" si="20"/>
        <v>1051.4264191735538</v>
      </c>
      <c r="K16" s="79">
        <f t="shared" si="20"/>
        <v>1141.6283821487605</v>
      </c>
      <c r="L16" s="79">
        <f t="shared" si="20"/>
        <v>1252.3930736776863</v>
      </c>
      <c r="M16" s="79">
        <f t="shared" si="20"/>
        <v>1387.2221613223144</v>
      </c>
      <c r="N16" s="79">
        <f t="shared" si="20"/>
        <v>1550.6737695000002</v>
      </c>
      <c r="O16" s="105">
        <f t="shared" si="2"/>
        <v>7.6408192088205373E-2</v>
      </c>
      <c r="P16" s="80"/>
      <c r="Q16" s="91" t="s">
        <v>18</v>
      </c>
      <c r="R16" s="81">
        <f t="shared" si="0"/>
        <v>1.997670128232909</v>
      </c>
      <c r="S16" s="81">
        <f t="shared" si="5"/>
        <v>2.6614199712472031</v>
      </c>
      <c r="T16" s="81">
        <f t="shared" si="6"/>
        <v>3.2733359938631246</v>
      </c>
      <c r="U16" s="81">
        <f t="shared" si="7"/>
        <v>4.4929821774023715</v>
      </c>
      <c r="V16" s="81">
        <f t="shared" si="8"/>
        <v>5.2404481866106023</v>
      </c>
      <c r="W16" s="81">
        <f t="shared" si="9"/>
        <v>5.8683880979515379</v>
      </c>
      <c r="X16" s="81">
        <f t="shared" si="10"/>
        <v>7.2336538561225572</v>
      </c>
      <c r="Y16" s="81">
        <f t="shared" si="11"/>
        <v>8.579008604910987</v>
      </c>
      <c r="Z16" s="81">
        <f t="shared" si="12"/>
        <v>9.702342133474783</v>
      </c>
      <c r="AA16" s="81">
        <f t="shared" si="13"/>
        <v>10.765716489368526</v>
      </c>
      <c r="AB16" s="81">
        <f t="shared" si="14"/>
        <v>11.782655492028905</v>
      </c>
      <c r="AC16" s="135">
        <v>0.01</v>
      </c>
      <c r="AD16" s="91" t="s">
        <v>18</v>
      </c>
      <c r="AE16" s="159">
        <v>0.12</v>
      </c>
      <c r="AF16" s="159">
        <v>0.11994545454545455</v>
      </c>
      <c r="AG16" s="159">
        <v>0.11989090909090909</v>
      </c>
      <c r="AH16" s="159">
        <v>0.11983636363636364</v>
      </c>
      <c r="AI16" s="159">
        <v>0.11978181818181818</v>
      </c>
      <c r="AJ16" s="159">
        <v>0.11972727272727274</v>
      </c>
      <c r="AK16" s="159">
        <v>0.11967272727272728</v>
      </c>
      <c r="AL16" s="159">
        <v>0.11961818181818183</v>
      </c>
      <c r="AM16" s="159">
        <v>0.11956363636363637</v>
      </c>
      <c r="AN16" s="159">
        <v>0.11950909090909093</v>
      </c>
      <c r="AO16" s="159">
        <v>0.11945454545454547</v>
      </c>
      <c r="AP16" s="159">
        <v>0.11940000000000001</v>
      </c>
      <c r="AQ16" s="83"/>
      <c r="AR16" s="83"/>
    </row>
    <row r="17" spans="2:44" s="78" customFormat="1" x14ac:dyDescent="0.2">
      <c r="B17" s="91" t="s">
        <v>19</v>
      </c>
      <c r="C17" s="79">
        <f t="shared" ref="C17:N17" si="21">C7*AE17</f>
        <v>473.76999999999987</v>
      </c>
      <c r="D17" s="79">
        <f t="shared" si="21"/>
        <v>484.29699752066102</v>
      </c>
      <c r="E17" s="79">
        <f t="shared" si="21"/>
        <v>498.27808413223124</v>
      </c>
      <c r="F17" s="79">
        <f t="shared" si="21"/>
        <v>515.71707801652883</v>
      </c>
      <c r="G17" s="79">
        <f t="shared" si="21"/>
        <v>540.06861785123954</v>
      </c>
      <c r="H17" s="79">
        <f t="shared" si="21"/>
        <v>569.61409090909092</v>
      </c>
      <c r="I17" s="79">
        <f t="shared" si="21"/>
        <v>604.35888429752049</v>
      </c>
      <c r="J17" s="79">
        <f t="shared" si="21"/>
        <v>649.49034314049572</v>
      </c>
      <c r="K17" s="79">
        <f t="shared" si="21"/>
        <v>706.74713256198334</v>
      </c>
      <c r="L17" s="79">
        <f t="shared" si="21"/>
        <v>777.00577429752059</v>
      </c>
      <c r="M17" s="79">
        <f t="shared" si="21"/>
        <v>862.52702115702471</v>
      </c>
      <c r="N17" s="79">
        <f t="shared" si="21"/>
        <v>966.24898199999984</v>
      </c>
      <c r="O17" s="105">
        <f t="shared" si="2"/>
        <v>7.8417442501106605E-2</v>
      </c>
      <c r="P17" s="80"/>
      <c r="Q17" s="91" t="s">
        <v>19</v>
      </c>
      <c r="R17" s="81">
        <f t="shared" si="0"/>
        <v>2.2219637209323517</v>
      </c>
      <c r="S17" s="81">
        <f t="shared" si="5"/>
        <v>2.8868827771276306</v>
      </c>
      <c r="T17" s="81">
        <f t="shared" si="6"/>
        <v>3.4998516771349131</v>
      </c>
      <c r="U17" s="81">
        <f t="shared" si="7"/>
        <v>4.7218796647898076</v>
      </c>
      <c r="V17" s="81">
        <f t="shared" si="8"/>
        <v>5.4706887386649861</v>
      </c>
      <c r="W17" s="81">
        <f t="shared" si="9"/>
        <v>6.0997074937134466</v>
      </c>
      <c r="X17" s="81">
        <f t="shared" si="10"/>
        <v>7.4676587067027178</v>
      </c>
      <c r="Y17" s="81">
        <f t="shared" si="11"/>
        <v>8.815649074108256</v>
      </c>
      <c r="Z17" s="81">
        <f t="shared" si="12"/>
        <v>9.9411286581166927</v>
      </c>
      <c r="AA17" s="81">
        <f t="shared" si="13"/>
        <v>11.006513682195296</v>
      </c>
      <c r="AB17" s="81">
        <f t="shared" si="14"/>
        <v>12.025357849524386</v>
      </c>
      <c r="AC17" s="112">
        <v>0.04</v>
      </c>
      <c r="AD17" s="91" t="s">
        <v>19</v>
      </c>
      <c r="AE17" s="82">
        <v>7.2999999999999982E-2</v>
      </c>
      <c r="AF17" s="82">
        <v>7.3127272727272707E-2</v>
      </c>
      <c r="AG17" s="82">
        <v>7.3254545454545433E-2</v>
      </c>
      <c r="AH17" s="82">
        <v>7.3381818181818159E-2</v>
      </c>
      <c r="AI17" s="82">
        <v>7.3509090909090885E-2</v>
      </c>
      <c r="AJ17" s="82">
        <v>7.3636363636363625E-2</v>
      </c>
      <c r="AK17" s="82">
        <v>7.3763636363636351E-2</v>
      </c>
      <c r="AL17" s="82">
        <v>7.3890909090909077E-2</v>
      </c>
      <c r="AM17" s="82">
        <v>7.4018181818181802E-2</v>
      </c>
      <c r="AN17" s="82">
        <v>7.4145454545454528E-2</v>
      </c>
      <c r="AO17" s="82">
        <v>7.4272727272727254E-2</v>
      </c>
      <c r="AP17" s="82">
        <v>7.439999999999998E-2</v>
      </c>
      <c r="AQ17" s="83"/>
      <c r="AR17" s="83"/>
    </row>
    <row r="18" spans="2:44" s="78" customFormat="1" x14ac:dyDescent="0.2">
      <c r="B18" s="91" t="s">
        <v>8</v>
      </c>
      <c r="C18" s="79">
        <f t="shared" ref="C18:N18" si="22">C7*AE18</f>
        <v>363.43999999999994</v>
      </c>
      <c r="D18" s="79">
        <f t="shared" si="22"/>
        <v>371.59138099173555</v>
      </c>
      <c r="E18" s="79">
        <f t="shared" si="22"/>
        <v>382.39658380165281</v>
      </c>
      <c r="F18" s="79">
        <f t="shared" si="22"/>
        <v>395.8601357024794</v>
      </c>
      <c r="G18" s="79">
        <f t="shared" si="22"/>
        <v>414.63591140495862</v>
      </c>
      <c r="H18" s="79">
        <f t="shared" si="22"/>
        <v>437.4073636363637</v>
      </c>
      <c r="I18" s="79">
        <f t="shared" si="22"/>
        <v>464.18099173553713</v>
      </c>
      <c r="J18" s="79">
        <f t="shared" si="22"/>
        <v>498.94410710743801</v>
      </c>
      <c r="K18" s="79">
        <f t="shared" si="22"/>
        <v>543.03734479338834</v>
      </c>
      <c r="L18" s="79">
        <f t="shared" si="22"/>
        <v>597.13979809917362</v>
      </c>
      <c r="M18" s="79">
        <f t="shared" si="22"/>
        <v>662.99506644628104</v>
      </c>
      <c r="N18" s="79">
        <f t="shared" si="22"/>
        <v>742.86884100000009</v>
      </c>
      <c r="O18" s="105">
        <f t="shared" si="2"/>
        <v>7.8601114398615168E-2</v>
      </c>
      <c r="P18" s="80"/>
      <c r="Q18" s="91" t="s">
        <v>8</v>
      </c>
      <c r="R18" s="81">
        <f t="shared" si="0"/>
        <v>2.2428409068169675</v>
      </c>
      <c r="S18" s="81">
        <f t="shared" si="5"/>
        <v>2.9078184701376575</v>
      </c>
      <c r="T18" s="81">
        <f t="shared" si="6"/>
        <v>3.5208347749806412</v>
      </c>
      <c r="U18" s="81">
        <f t="shared" si="7"/>
        <v>4.7430327050134391</v>
      </c>
      <c r="V18" s="81">
        <f t="shared" si="8"/>
        <v>5.4919151007075007</v>
      </c>
      <c r="W18" s="81">
        <f t="shared" si="9"/>
        <v>6.1209824810886326</v>
      </c>
      <c r="X18" s="81">
        <f t="shared" si="10"/>
        <v>7.4891294539925601</v>
      </c>
      <c r="Y18" s="81">
        <f t="shared" si="11"/>
        <v>8.8373100429174336</v>
      </c>
      <c r="Z18" s="81">
        <f t="shared" si="12"/>
        <v>9.9629341931114936</v>
      </c>
      <c r="AA18" s="81">
        <f t="shared" si="13"/>
        <v>11.028450717359517</v>
      </c>
      <c r="AB18" s="81">
        <f t="shared" si="14"/>
        <v>12.047416126616195</v>
      </c>
      <c r="AC18" s="112">
        <v>0.05</v>
      </c>
      <c r="AD18" s="91" t="s">
        <v>8</v>
      </c>
      <c r="AE18" s="84">
        <v>5.5999999999999994E-2</v>
      </c>
      <c r="AF18" s="84">
        <v>5.6109090909090907E-2</v>
      </c>
      <c r="AG18" s="84">
        <v>5.6218181818181813E-2</v>
      </c>
      <c r="AH18" s="84">
        <v>5.6327272727272726E-2</v>
      </c>
      <c r="AI18" s="84">
        <v>5.6436363636363632E-2</v>
      </c>
      <c r="AJ18" s="84">
        <v>5.6545454545454545E-2</v>
      </c>
      <c r="AK18" s="84">
        <v>5.665454545454545E-2</v>
      </c>
      <c r="AL18" s="84">
        <v>5.6763636363636363E-2</v>
      </c>
      <c r="AM18" s="84">
        <v>5.6872727272727269E-2</v>
      </c>
      <c r="AN18" s="84">
        <v>5.6981818181818182E-2</v>
      </c>
      <c r="AO18" s="84">
        <v>5.7090909090909088E-2</v>
      </c>
      <c r="AP18" s="84">
        <v>5.7200000000000001E-2</v>
      </c>
      <c r="AQ18" s="83"/>
      <c r="AR18" s="83"/>
    </row>
    <row r="19" spans="2:44" ht="13.5" customHeight="1" x14ac:dyDescent="0.2">
      <c r="B19" s="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6"/>
      <c r="P19" s="24"/>
      <c r="Q19" s="5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0"/>
      <c r="AC19" s="25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33"/>
      <c r="AR19" s="26"/>
    </row>
    <row r="20" spans="2:44" x14ac:dyDescent="0.2">
      <c r="B20" s="17" t="s">
        <v>20</v>
      </c>
      <c r="C20" s="18">
        <f t="shared" ref="C20:N20" si="23">C7</f>
        <v>6490</v>
      </c>
      <c r="D20" s="18">
        <f t="shared" si="23"/>
        <v>6622.659090909091</v>
      </c>
      <c r="E20" s="18">
        <f t="shared" si="23"/>
        <v>6802.0090909090904</v>
      </c>
      <c r="F20" s="18">
        <f t="shared" si="23"/>
        <v>7027.8590909090917</v>
      </c>
      <c r="G20" s="18">
        <f t="shared" si="23"/>
        <v>7346.9636363636364</v>
      </c>
      <c r="H20" s="18">
        <f t="shared" si="23"/>
        <v>7735.5000000000009</v>
      </c>
      <c r="I20" s="18">
        <f t="shared" si="23"/>
        <v>8193.181818181818</v>
      </c>
      <c r="J20" s="18">
        <f t="shared" si="23"/>
        <v>8789.8545454545456</v>
      </c>
      <c r="K20" s="18">
        <f t="shared" si="23"/>
        <v>9548.2909090909088</v>
      </c>
      <c r="L20" s="18">
        <f t="shared" si="23"/>
        <v>10479.479545454547</v>
      </c>
      <c r="M20" s="18">
        <f t="shared" si="23"/>
        <v>11612.970909090911</v>
      </c>
      <c r="N20" s="18">
        <f t="shared" si="23"/>
        <v>12987.217500000001</v>
      </c>
      <c r="O20" s="19">
        <f>((N20/H20)^(1/7)-1)*100%</f>
        <v>7.6829185054990923E-2</v>
      </c>
      <c r="P20" s="24"/>
      <c r="Q20" s="17" t="s">
        <v>20</v>
      </c>
      <c r="R20" s="28">
        <f t="shared" ref="R20:AB20" si="24">(D20/C20-1)*100</f>
        <v>2.0440537890460853</v>
      </c>
      <c r="S20" s="28">
        <f t="shared" si="24"/>
        <v>2.7081267137273102</v>
      </c>
      <c r="T20" s="28">
        <f t="shared" si="24"/>
        <v>3.3203425191220326</v>
      </c>
      <c r="U20" s="28">
        <f t="shared" si="24"/>
        <v>4.5405655026197644</v>
      </c>
      <c r="V20" s="28">
        <f t="shared" si="24"/>
        <v>5.2883937210919552</v>
      </c>
      <c r="W20" s="28">
        <f t="shared" si="24"/>
        <v>5.9166416932559862</v>
      </c>
      <c r="X20" s="28">
        <f t="shared" si="24"/>
        <v>7.2825520110957109</v>
      </c>
      <c r="Y20" s="28">
        <f t="shared" si="24"/>
        <v>8.6285428241650521</v>
      </c>
      <c r="Z20" s="28">
        <f t="shared" si="24"/>
        <v>9.7524116643435743</v>
      </c>
      <c r="AA20" s="28">
        <f t="shared" si="24"/>
        <v>10.816294442103413</v>
      </c>
      <c r="AB20" s="28">
        <f t="shared" si="24"/>
        <v>11.83372111811023</v>
      </c>
      <c r="AC20" s="25"/>
      <c r="AD20" s="17" t="s">
        <v>20</v>
      </c>
      <c r="AE20" s="20">
        <v>1</v>
      </c>
      <c r="AF20" s="20">
        <v>1</v>
      </c>
      <c r="AG20" s="20">
        <v>1</v>
      </c>
      <c r="AH20" s="20">
        <v>1</v>
      </c>
      <c r="AI20" s="20">
        <v>1</v>
      </c>
      <c r="AJ20" s="20">
        <v>1</v>
      </c>
      <c r="AK20" s="20">
        <v>1</v>
      </c>
      <c r="AL20" s="20">
        <v>1</v>
      </c>
      <c r="AM20" s="20">
        <v>1</v>
      </c>
      <c r="AN20" s="20">
        <v>1</v>
      </c>
      <c r="AO20" s="20">
        <v>1</v>
      </c>
      <c r="AP20" s="20">
        <v>1</v>
      </c>
      <c r="AQ20" s="33"/>
      <c r="AR20" s="26"/>
    </row>
    <row r="21" spans="2:44" x14ac:dyDescent="0.2">
      <c r="B21" s="2" t="s">
        <v>21</v>
      </c>
      <c r="C21" s="21">
        <f>C20*AE21</f>
        <v>1173.3919999999998</v>
      </c>
      <c r="D21" s="21">
        <f t="shared" ref="D21:N21" si="25">D20*AF21</f>
        <v>1196.8951157024794</v>
      </c>
      <c r="E21" s="21">
        <f t="shared" si="25"/>
        <v>1228.8138604958676</v>
      </c>
      <c r="F21" s="21">
        <f t="shared" si="25"/>
        <v>1269.1035725619836</v>
      </c>
      <c r="G21" s="21">
        <f t="shared" si="25"/>
        <v>1326.1937269421487</v>
      </c>
      <c r="H21" s="21">
        <f t="shared" si="25"/>
        <v>1395.7654909090911</v>
      </c>
      <c r="I21" s="21">
        <f t="shared" si="25"/>
        <v>1477.7520661157025</v>
      </c>
      <c r="J21" s="21">
        <f t="shared" si="25"/>
        <v>1584.7308667768596</v>
      </c>
      <c r="K21" s="21">
        <f t="shared" si="25"/>
        <v>1720.7756271074379</v>
      </c>
      <c r="L21" s="21">
        <f t="shared" si="25"/>
        <v>1887.8306061157029</v>
      </c>
      <c r="M21" s="21">
        <f t="shared" si="25"/>
        <v>2091.1793433388434</v>
      </c>
      <c r="N21" s="21">
        <f t="shared" si="25"/>
        <v>2337.6991499999999</v>
      </c>
      <c r="O21" s="19">
        <f t="shared" ref="O21:O36" si="26">((N21/H21)^(1/7)-1)*100%</f>
        <v>7.6456772915849847E-2</v>
      </c>
      <c r="P21" s="24"/>
      <c r="Q21" s="2" t="s">
        <v>21</v>
      </c>
      <c r="R21" s="30">
        <f t="shared" ref="R21:AA27" si="27">(D21/C21-1)*100</f>
        <v>2.003006301600796</v>
      </c>
      <c r="S21" s="30">
        <f t="shared" si="27"/>
        <v>2.6667954756131262</v>
      </c>
      <c r="T21" s="30">
        <f t="shared" si="27"/>
        <v>3.2787481783333572</v>
      </c>
      <c r="U21" s="30">
        <f t="shared" si="27"/>
        <v>4.4984629792598652</v>
      </c>
      <c r="V21" s="30">
        <f t="shared" si="27"/>
        <v>5.2459729339360051</v>
      </c>
      <c r="W21" s="30">
        <f t="shared" si="27"/>
        <v>5.8739505841494788</v>
      </c>
      <c r="X21" s="30">
        <f t="shared" si="27"/>
        <v>7.2392929175428389</v>
      </c>
      <c r="Y21" s="30">
        <f t="shared" si="27"/>
        <v>8.5847233232275055</v>
      </c>
      <c r="Z21" s="30">
        <f t="shared" si="27"/>
        <v>9.7081209413151903</v>
      </c>
      <c r="AA21" s="30">
        <f t="shared" si="27"/>
        <v>10.771556333729526</v>
      </c>
      <c r="AB21" s="30">
        <f t="shared" ref="AB21:AB36" si="28">(N21/M21-1)*100</f>
        <v>11.788554025574637</v>
      </c>
      <c r="AC21" s="25">
        <v>0.03</v>
      </c>
      <c r="AD21" s="2" t="s">
        <v>21</v>
      </c>
      <c r="AE21" s="145">
        <v>0.18079999999999999</v>
      </c>
      <c r="AF21" s="145">
        <v>0.18072727272727274</v>
      </c>
      <c r="AG21" s="145">
        <v>0.18065454545454546</v>
      </c>
      <c r="AH21" s="145">
        <v>0.18058181818181818</v>
      </c>
      <c r="AI21" s="145">
        <v>0.1805090909090909</v>
      </c>
      <c r="AJ21" s="145">
        <v>0.18043636363636364</v>
      </c>
      <c r="AK21" s="145">
        <v>0.18036363636363636</v>
      </c>
      <c r="AL21" s="145">
        <v>0.18029090909090909</v>
      </c>
      <c r="AM21" s="145">
        <v>0.18021818181818181</v>
      </c>
      <c r="AN21" s="145">
        <v>0.18014545454545455</v>
      </c>
      <c r="AO21" s="145">
        <v>0.18007272727272727</v>
      </c>
      <c r="AP21" s="145">
        <v>0.18</v>
      </c>
      <c r="AQ21" s="70"/>
      <c r="AR21" s="23"/>
    </row>
    <row r="22" spans="2:44" ht="15" customHeight="1" x14ac:dyDescent="0.2">
      <c r="B22" s="5" t="s">
        <v>22</v>
      </c>
      <c r="C22" s="21">
        <f>C20*AE22</f>
        <v>898.86500000000012</v>
      </c>
      <c r="D22" s="21">
        <f t="shared" ref="D22:N22" si="29">D20*AF22</f>
        <v>917.59952004132253</v>
      </c>
      <c r="E22" s="21">
        <f t="shared" si="29"/>
        <v>942.82029644628108</v>
      </c>
      <c r="F22" s="21">
        <f t="shared" si="29"/>
        <v>974.50849739669445</v>
      </c>
      <c r="G22" s="21">
        <f t="shared" si="29"/>
        <v>1019.1574375206612</v>
      </c>
      <c r="H22" s="21">
        <f t="shared" si="29"/>
        <v>1073.4764318181822</v>
      </c>
      <c r="I22" s="21">
        <f t="shared" si="29"/>
        <v>1137.4370867768596</v>
      </c>
      <c r="J22" s="21">
        <f t="shared" si="29"/>
        <v>1220.7509808264463</v>
      </c>
      <c r="K22" s="21">
        <f t="shared" si="29"/>
        <v>1326.6048178512397</v>
      </c>
      <c r="L22" s="21">
        <f t="shared" si="29"/>
        <v>1456.5523888223145</v>
      </c>
      <c r="M22" s="21">
        <f t="shared" si="29"/>
        <v>1614.7308186776863</v>
      </c>
      <c r="N22" s="21">
        <f t="shared" si="29"/>
        <v>1806.5219542500001</v>
      </c>
      <c r="O22" s="19">
        <f t="shared" si="26"/>
        <v>7.7191608212755725E-2</v>
      </c>
      <c r="P22" s="24"/>
      <c r="Q22" s="5" t="s">
        <v>22</v>
      </c>
      <c r="R22" s="30">
        <f t="shared" si="27"/>
        <v>2.084241798414932</v>
      </c>
      <c r="S22" s="30">
        <f t="shared" si="27"/>
        <v>2.7485603309625573</v>
      </c>
      <c r="T22" s="30">
        <f t="shared" si="27"/>
        <v>3.3610011441049803</v>
      </c>
      <c r="U22" s="30">
        <f t="shared" si="27"/>
        <v>4.5816881272192189</v>
      </c>
      <c r="V22" s="30">
        <f t="shared" si="27"/>
        <v>5.3297942297967804</v>
      </c>
      <c r="W22" s="30">
        <f t="shared" si="27"/>
        <v>5.9582728658835293</v>
      </c>
      <c r="X22" s="30">
        <f t="shared" si="27"/>
        <v>7.3247034950893131</v>
      </c>
      <c r="Y22" s="30">
        <f t="shared" si="27"/>
        <v>8.6712063874919476</v>
      </c>
      <c r="Z22" s="30">
        <f t="shared" si="27"/>
        <v>9.795499701377274</v>
      </c>
      <c r="AA22" s="30">
        <f t="shared" si="27"/>
        <v>10.859783078812967</v>
      </c>
      <c r="AB22" s="30">
        <f t="shared" si="28"/>
        <v>11.877591816162457</v>
      </c>
      <c r="AC22" s="25">
        <v>0.04</v>
      </c>
      <c r="AD22" s="5" t="s">
        <v>22</v>
      </c>
      <c r="AE22" s="145">
        <v>0.13850000000000001</v>
      </c>
      <c r="AF22" s="145">
        <v>0.13855454545454549</v>
      </c>
      <c r="AG22" s="145">
        <v>0.13860909090909093</v>
      </c>
      <c r="AH22" s="145">
        <v>0.13866363636363638</v>
      </c>
      <c r="AI22" s="145">
        <v>0.13871818181818182</v>
      </c>
      <c r="AJ22" s="145">
        <v>0.1387727272727273</v>
      </c>
      <c r="AK22" s="145">
        <v>0.13882727272727274</v>
      </c>
      <c r="AL22" s="145">
        <v>0.13888181818181819</v>
      </c>
      <c r="AM22" s="145">
        <v>0.13893636363636364</v>
      </c>
      <c r="AN22" s="145">
        <v>0.13899090909090911</v>
      </c>
      <c r="AO22" s="145">
        <v>0.13904545454545456</v>
      </c>
      <c r="AP22" s="145">
        <v>0.1391</v>
      </c>
      <c r="AQ22" s="26"/>
      <c r="AR22" s="23"/>
    </row>
    <row r="23" spans="2:44" ht="15" customHeight="1" x14ac:dyDescent="0.2">
      <c r="B23" s="5" t="s">
        <v>23</v>
      </c>
      <c r="C23" s="21">
        <f>C20*AE23</f>
        <v>1377.827</v>
      </c>
      <c r="D23" s="21">
        <f t="shared" ref="D23:N23" si="30">D20*AF23</f>
        <v>1405.2078471074378</v>
      </c>
      <c r="E23" s="21">
        <f t="shared" si="30"/>
        <v>1442.4587823966942</v>
      </c>
      <c r="F23" s="21">
        <f t="shared" si="30"/>
        <v>1489.5227895041323</v>
      </c>
      <c r="G23" s="21">
        <f t="shared" si="30"/>
        <v>1556.2872699173554</v>
      </c>
      <c r="H23" s="21">
        <f t="shared" si="30"/>
        <v>1637.675672727273</v>
      </c>
      <c r="I23" s="21">
        <f t="shared" si="30"/>
        <v>1733.6027892561983</v>
      </c>
      <c r="J23" s="21">
        <f t="shared" si="30"/>
        <v>1858.8145130578512</v>
      </c>
      <c r="K23" s="21">
        <f t="shared" si="30"/>
        <v>2018.0746849586776</v>
      </c>
      <c r="L23" s="21">
        <f t="shared" si="30"/>
        <v>2213.6471519834713</v>
      </c>
      <c r="M23" s="21">
        <f t="shared" si="30"/>
        <v>2451.7093038347111</v>
      </c>
      <c r="N23" s="21">
        <f t="shared" si="30"/>
        <v>2740.3028924999999</v>
      </c>
      <c r="O23" s="19">
        <f t="shared" si="26"/>
        <v>7.6313202000398928E-2</v>
      </c>
      <c r="P23" s="24"/>
      <c r="Q23" s="5" t="s">
        <v>23</v>
      </c>
      <c r="R23" s="30">
        <f t="shared" si="27"/>
        <v>1.9872485520633365</v>
      </c>
      <c r="S23" s="30">
        <f t="shared" ref="S23:S27" si="31">(E23/D23-1)*100</f>
        <v>2.6509199593452326</v>
      </c>
      <c r="T23" s="30">
        <f t="shared" ref="T23:T27" si="32">(F23/E23-1)*100</f>
        <v>3.2627626994817582</v>
      </c>
      <c r="U23" s="30">
        <f t="shared" ref="U23:U27" si="33">(G23/F23-1)*100</f>
        <v>4.4822731739102339</v>
      </c>
      <c r="V23" s="30">
        <f t="shared" ref="V23:V27" si="34">(H23/G23-1)*100</f>
        <v>5.2296516448560038</v>
      </c>
      <c r="W23" s="30">
        <f t="shared" ref="W23:W27" si="35">(I23/H23-1)*100</f>
        <v>5.8575161203423765</v>
      </c>
      <c r="X23" s="30">
        <f t="shared" ref="X23:X27" si="36">(J23/I23-1)*100</f>
        <v>7.2226304997683455</v>
      </c>
      <c r="Y23" s="30">
        <f t="shared" ref="Y23:Y27" si="37">(K23/J23-1)*100</f>
        <v>8.5678356168434888</v>
      </c>
      <c r="Z23" s="30">
        <f t="shared" ref="Z23:Z27" si="38">(L23/K23-1)*100</f>
        <v>9.6910420849364307</v>
      </c>
      <c r="AA23" s="30">
        <f t="shared" ref="AA23:AA27" si="39">(M23/L23-1)*100</f>
        <v>10.75429531024994</v>
      </c>
      <c r="AB23" s="30">
        <f t="shared" si="28"/>
        <v>11.771117734631108</v>
      </c>
      <c r="AC23" s="74">
        <v>0.01</v>
      </c>
      <c r="AD23" s="5" t="s">
        <v>23</v>
      </c>
      <c r="AE23" s="76">
        <v>0.21229999999999999</v>
      </c>
      <c r="AF23" s="76">
        <v>0.21218181818181817</v>
      </c>
      <c r="AG23" s="76">
        <v>0.21206363636363637</v>
      </c>
      <c r="AH23" s="76">
        <v>0.21194545454545455</v>
      </c>
      <c r="AI23" s="76">
        <v>0.21182727272727273</v>
      </c>
      <c r="AJ23" s="76">
        <v>0.2117090909090909</v>
      </c>
      <c r="AK23" s="76">
        <v>0.21159090909090908</v>
      </c>
      <c r="AL23" s="76">
        <v>0.21147272727272726</v>
      </c>
      <c r="AM23" s="76">
        <v>0.21135454545454546</v>
      </c>
      <c r="AN23" s="76">
        <v>0.21123636363636364</v>
      </c>
      <c r="AO23" s="76">
        <v>0.21111818181818182</v>
      </c>
      <c r="AP23" s="76">
        <v>0.21099999999999999</v>
      </c>
      <c r="AQ23" s="26"/>
      <c r="AR23" s="23"/>
    </row>
    <row r="24" spans="2:44" ht="15" customHeight="1" x14ac:dyDescent="0.2">
      <c r="B24" s="5" t="s">
        <v>24</v>
      </c>
      <c r="C24" s="21">
        <f>C20*AE24</f>
        <v>790.48200000000008</v>
      </c>
      <c r="D24" s="21">
        <f t="shared" ref="D24:N24" si="40">D20*AF24</f>
        <v>807.00111322314046</v>
      </c>
      <c r="E24" s="21">
        <f t="shared" si="40"/>
        <v>829.22674462809914</v>
      </c>
      <c r="F24" s="21">
        <f t="shared" si="40"/>
        <v>857.14325057851249</v>
      </c>
      <c r="G24" s="21">
        <f t="shared" si="40"/>
        <v>896.46314479338844</v>
      </c>
      <c r="H24" s="21">
        <f t="shared" si="40"/>
        <v>944.29358181818191</v>
      </c>
      <c r="I24" s="21">
        <f t="shared" si="40"/>
        <v>1000.6109504132231</v>
      </c>
      <c r="J24" s="21">
        <f t="shared" si="40"/>
        <v>1073.9604099173553</v>
      </c>
      <c r="K24" s="21">
        <f t="shared" si="40"/>
        <v>1167.1483596694213</v>
      </c>
      <c r="L24" s="21">
        <f t="shared" si="40"/>
        <v>1281.5450804132231</v>
      </c>
      <c r="M24" s="21">
        <f t="shared" si="40"/>
        <v>1420.7942044958679</v>
      </c>
      <c r="N24" s="21">
        <f t="shared" si="40"/>
        <v>1589.6354220000001</v>
      </c>
      <c r="O24" s="19">
        <f t="shared" si="26"/>
        <v>7.724113219167994E-2</v>
      </c>
      <c r="P24" s="24"/>
      <c r="Q24" s="5" t="s">
        <v>24</v>
      </c>
      <c r="R24" s="30">
        <f t="shared" si="27"/>
        <v>2.089751977039378</v>
      </c>
      <c r="S24" s="30">
        <f t="shared" si="31"/>
        <v>2.7541017033037463</v>
      </c>
      <c r="T24" s="30">
        <f t="shared" si="32"/>
        <v>3.3665708602939048</v>
      </c>
      <c r="U24" s="30">
        <f t="shared" si="33"/>
        <v>4.5873188861182523</v>
      </c>
      <c r="V24" s="30">
        <f t="shared" si="34"/>
        <v>5.3354605041590508</v>
      </c>
      <c r="W24" s="30">
        <f t="shared" si="35"/>
        <v>5.9639681640751396</v>
      </c>
      <c r="X24" s="30">
        <f t="shared" si="36"/>
        <v>7.3304673983270785</v>
      </c>
      <c r="Y24" s="30">
        <f t="shared" si="37"/>
        <v>8.677037709354396</v>
      </c>
      <c r="Z24" s="30">
        <f t="shared" si="38"/>
        <v>9.8013864129666395</v>
      </c>
      <c r="AA24" s="30">
        <f t="shared" si="39"/>
        <v>10.865721870489731</v>
      </c>
      <c r="AB24" s="30">
        <f t="shared" si="28"/>
        <v>11.883580111029591</v>
      </c>
      <c r="AC24" s="25">
        <v>0.05</v>
      </c>
      <c r="AD24" s="5" t="s">
        <v>24</v>
      </c>
      <c r="AE24" s="145">
        <v>0.12180000000000001</v>
      </c>
      <c r="AF24" s="145">
        <v>0.12185454545454545</v>
      </c>
      <c r="AG24" s="145">
        <v>0.12190909090909091</v>
      </c>
      <c r="AH24" s="145">
        <v>0.12196363636363636</v>
      </c>
      <c r="AI24" s="145">
        <v>0.12201818181818182</v>
      </c>
      <c r="AJ24" s="145">
        <v>0.12207272727272726</v>
      </c>
      <c r="AK24" s="145">
        <v>0.12212727272727272</v>
      </c>
      <c r="AL24" s="145">
        <v>0.12218181818181817</v>
      </c>
      <c r="AM24" s="145">
        <v>0.12223636363636363</v>
      </c>
      <c r="AN24" s="145">
        <v>0.12229090909090908</v>
      </c>
      <c r="AO24" s="145">
        <v>0.12234545454545454</v>
      </c>
      <c r="AP24" s="145">
        <v>0.12239999999999999</v>
      </c>
      <c r="AQ24" s="26"/>
      <c r="AR24" s="23"/>
    </row>
    <row r="25" spans="2:44" ht="15" customHeight="1" x14ac:dyDescent="0.2">
      <c r="B25" s="5" t="s">
        <v>25</v>
      </c>
      <c r="C25" s="21">
        <f>C20*AE25</f>
        <v>1318.1189999999999</v>
      </c>
      <c r="D25" s="21">
        <f t="shared" ref="D25:N25" si="41">D20*AF25</f>
        <v>1343.1956756198349</v>
      </c>
      <c r="E25" s="21">
        <f t="shared" si="41"/>
        <v>1377.6541866942148</v>
      </c>
      <c r="F25" s="21">
        <f t="shared" si="41"/>
        <v>1421.4164459504134</v>
      </c>
      <c r="G25" s="21">
        <f t="shared" si="41"/>
        <v>1483.8862828099175</v>
      </c>
      <c r="H25" s="21">
        <f t="shared" si="41"/>
        <v>1560.1800272727276</v>
      </c>
      <c r="I25" s="21">
        <f t="shared" si="41"/>
        <v>1650.1813016528927</v>
      </c>
      <c r="J25" s="21">
        <f t="shared" si="41"/>
        <v>1767.8794723966944</v>
      </c>
      <c r="K25" s="21">
        <f t="shared" si="41"/>
        <v>1917.730827768595</v>
      </c>
      <c r="L25" s="21">
        <f t="shared" si="41"/>
        <v>2101.8025248347112</v>
      </c>
      <c r="M25" s="21">
        <f t="shared" si="41"/>
        <v>2325.8669281652897</v>
      </c>
      <c r="N25" s="21">
        <f t="shared" si="41"/>
        <v>2597.4435000000003</v>
      </c>
      <c r="O25" s="19">
        <f t="shared" si="26"/>
        <v>7.5534844811618429E-2</v>
      </c>
      <c r="P25" s="24"/>
      <c r="Q25" s="5" t="s">
        <v>25</v>
      </c>
      <c r="R25" s="30">
        <f t="shared" si="27"/>
        <v>1.9024591573169713</v>
      </c>
      <c r="S25" s="30">
        <f t="shared" si="31"/>
        <v>2.5654125977198738</v>
      </c>
      <c r="T25" s="30">
        <f t="shared" si="32"/>
        <v>3.1765779597570543</v>
      </c>
      <c r="U25" s="30">
        <f t="shared" si="33"/>
        <v>4.3949003852797208</v>
      </c>
      <c r="V25" s="30">
        <f t="shared" si="34"/>
        <v>5.141481887570154</v>
      </c>
      <c r="W25" s="30">
        <f t="shared" si="35"/>
        <v>5.7686467463304192</v>
      </c>
      <c r="X25" s="30">
        <f t="shared" si="36"/>
        <v>7.1324387584509763</v>
      </c>
      <c r="Y25" s="30">
        <f t="shared" si="37"/>
        <v>8.4763332405658254</v>
      </c>
      <c r="Z25" s="30">
        <f t="shared" si="38"/>
        <v>9.5984115393449532</v>
      </c>
      <c r="AA25" s="30">
        <f t="shared" si="39"/>
        <v>10.660583032090475</v>
      </c>
      <c r="AB25" s="30">
        <f t="shared" si="28"/>
        <v>11.676358975916902</v>
      </c>
      <c r="AC25" s="74">
        <v>0.02</v>
      </c>
      <c r="AD25" s="5" t="s">
        <v>25</v>
      </c>
      <c r="AE25" s="76">
        <v>0.2031</v>
      </c>
      <c r="AF25" s="76">
        <v>0.20281818181818184</v>
      </c>
      <c r="AG25" s="76">
        <v>0.20253636363636365</v>
      </c>
      <c r="AH25" s="76">
        <v>0.20225454545454546</v>
      </c>
      <c r="AI25" s="76">
        <v>0.20197272727272728</v>
      </c>
      <c r="AJ25" s="76">
        <v>0.20169090909090912</v>
      </c>
      <c r="AK25" s="76">
        <v>0.20140909090909093</v>
      </c>
      <c r="AL25" s="76">
        <v>0.20112727272727274</v>
      </c>
      <c r="AM25" s="76">
        <v>0.20084545454545455</v>
      </c>
      <c r="AN25" s="76">
        <v>0.20056363636363639</v>
      </c>
      <c r="AO25" s="76">
        <v>0.2002818181818182</v>
      </c>
      <c r="AP25" s="76">
        <v>0.2</v>
      </c>
      <c r="AQ25" s="26"/>
      <c r="AR25" s="23"/>
    </row>
    <row r="26" spans="2:44" ht="15" customHeight="1" x14ac:dyDescent="0.2">
      <c r="B26" s="5" t="s">
        <v>26</v>
      </c>
      <c r="C26" s="21">
        <f>C20*AE26</f>
        <v>486.75</v>
      </c>
      <c r="D26" s="21">
        <f t="shared" ref="D26:N26" si="42">D20*AF26</f>
        <v>497.00046177685948</v>
      </c>
      <c r="E26" s="21">
        <f t="shared" si="42"/>
        <v>510.76904628099174</v>
      </c>
      <c r="F26" s="21">
        <f t="shared" si="42"/>
        <v>528.04777623966947</v>
      </c>
      <c r="G26" s="21">
        <f t="shared" si="42"/>
        <v>552.35808429752069</v>
      </c>
      <c r="H26" s="21">
        <f t="shared" si="42"/>
        <v>581.92056818181823</v>
      </c>
      <c r="I26" s="21">
        <f t="shared" si="42"/>
        <v>616.72314049586771</v>
      </c>
      <c r="J26" s="21">
        <f t="shared" si="42"/>
        <v>662.03586280991726</v>
      </c>
      <c r="K26" s="21">
        <f t="shared" si="42"/>
        <v>719.59392396694216</v>
      </c>
      <c r="L26" s="21">
        <f t="shared" si="42"/>
        <v>790.2480257231407</v>
      </c>
      <c r="M26" s="21">
        <f t="shared" si="42"/>
        <v>876.25144132231424</v>
      </c>
      <c r="N26" s="21">
        <f t="shared" si="42"/>
        <v>980.53492125000002</v>
      </c>
      <c r="O26" s="19">
        <f t="shared" si="26"/>
        <v>7.7386022253924436E-2</v>
      </c>
      <c r="P26" s="24"/>
      <c r="Q26" s="5" t="s">
        <v>26</v>
      </c>
      <c r="R26" s="30">
        <f t="shared" si="27"/>
        <v>2.1058986701303573</v>
      </c>
      <c r="S26" s="30">
        <f t="shared" si="31"/>
        <v>2.7703363604346221</v>
      </c>
      <c r="T26" s="30">
        <f t="shared" si="32"/>
        <v>3.3828850993394166</v>
      </c>
      <c r="U26" s="30">
        <f t="shared" si="33"/>
        <v>4.6038084339583119</v>
      </c>
      <c r="V26" s="30">
        <f t="shared" si="34"/>
        <v>5.3520505492183679</v>
      </c>
      <c r="W26" s="30">
        <f t="shared" si="35"/>
        <v>5.9806396640676107</v>
      </c>
      <c r="X26" s="30">
        <f t="shared" si="36"/>
        <v>7.3473361608608512</v>
      </c>
      <c r="Y26" s="30">
        <f t="shared" si="37"/>
        <v>8.6941001825381328</v>
      </c>
      <c r="Z26" s="30">
        <f t="shared" si="38"/>
        <v>9.8186073287973343</v>
      </c>
      <c r="AA26" s="30">
        <f t="shared" si="39"/>
        <v>10.883091485166752</v>
      </c>
      <c r="AB26" s="30">
        <f t="shared" si="28"/>
        <v>11.901090829627158</v>
      </c>
      <c r="AC26" s="25">
        <v>0.06</v>
      </c>
      <c r="AD26" s="5" t="s">
        <v>26</v>
      </c>
      <c r="AE26" s="145">
        <v>7.4999999999999997E-2</v>
      </c>
      <c r="AF26" s="145">
        <v>7.504545454545454E-2</v>
      </c>
      <c r="AG26" s="145">
        <v>7.5090909090909097E-2</v>
      </c>
      <c r="AH26" s="145">
        <v>7.513636363636364E-2</v>
      </c>
      <c r="AI26" s="145">
        <v>7.5181818181818183E-2</v>
      </c>
      <c r="AJ26" s="145">
        <v>7.5227272727272726E-2</v>
      </c>
      <c r="AK26" s="145">
        <v>7.5272727272727269E-2</v>
      </c>
      <c r="AL26" s="145">
        <v>7.5318181818181812E-2</v>
      </c>
      <c r="AM26" s="145">
        <v>7.5363636363636369E-2</v>
      </c>
      <c r="AN26" s="145">
        <v>7.5409090909090912E-2</v>
      </c>
      <c r="AO26" s="145">
        <v>7.5454545454545455E-2</v>
      </c>
      <c r="AP26" s="145">
        <v>7.5499999999999998E-2</v>
      </c>
      <c r="AQ26" s="26"/>
      <c r="AR26" s="23"/>
    </row>
    <row r="27" spans="2:44" ht="15" customHeight="1" x14ac:dyDescent="0.2">
      <c r="B27" s="5" t="s">
        <v>8</v>
      </c>
      <c r="C27" s="21">
        <f t="shared" ref="C27:N27" si="43">C20*AE27</f>
        <v>444.56500000000005</v>
      </c>
      <c r="D27" s="21">
        <f t="shared" si="43"/>
        <v>455.75935743801654</v>
      </c>
      <c r="E27" s="21">
        <f t="shared" si="43"/>
        <v>470.26617396694218</v>
      </c>
      <c r="F27" s="21">
        <f t="shared" si="43"/>
        <v>488.11675867768605</v>
      </c>
      <c r="G27" s="21">
        <f t="shared" si="43"/>
        <v>512.61769008264469</v>
      </c>
      <c r="H27" s="21">
        <f t="shared" si="43"/>
        <v>542.18822727272732</v>
      </c>
      <c r="I27" s="21">
        <f t="shared" si="43"/>
        <v>576.87448347107431</v>
      </c>
      <c r="J27" s="21">
        <f t="shared" si="43"/>
        <v>621.68243966942146</v>
      </c>
      <c r="K27" s="21">
        <f t="shared" si="43"/>
        <v>678.36266776859509</v>
      </c>
      <c r="L27" s="21">
        <f t="shared" si="43"/>
        <v>747.85376756198366</v>
      </c>
      <c r="M27" s="21">
        <f t="shared" si="43"/>
        <v>832.43886925619847</v>
      </c>
      <c r="N27" s="21">
        <f t="shared" si="43"/>
        <v>935.07965999999999</v>
      </c>
      <c r="O27" s="19">
        <f t="shared" si="26"/>
        <v>8.0971080390613404E-2</v>
      </c>
      <c r="P27" s="24"/>
      <c r="Q27" s="5" t="s">
        <v>8</v>
      </c>
      <c r="R27" s="30">
        <f t="shared" si="27"/>
        <v>2.5180474031955891</v>
      </c>
      <c r="S27" s="30">
        <f t="shared" si="31"/>
        <v>3.1829991622055909</v>
      </c>
      <c r="T27" s="30">
        <f t="shared" si="32"/>
        <v>3.7958470540555345</v>
      </c>
      <c r="U27" s="30">
        <f t="shared" si="33"/>
        <v>5.0194817058385688</v>
      </c>
      <c r="V27" s="30">
        <f t="shared" si="34"/>
        <v>5.7685362331751033</v>
      </c>
      <c r="W27" s="30">
        <f t="shared" si="35"/>
        <v>6.3974565388155158</v>
      </c>
      <c r="X27" s="30">
        <f t="shared" si="36"/>
        <v>7.7673666425209342</v>
      </c>
      <c r="Y27" s="30">
        <f t="shared" si="37"/>
        <v>9.1172316414974262</v>
      </c>
      <c r="Z27" s="30">
        <f t="shared" si="38"/>
        <v>10.243945177875503</v>
      </c>
      <c r="AA27" s="30">
        <f t="shared" si="39"/>
        <v>11.310379831335716</v>
      </c>
      <c r="AB27" s="30">
        <f t="shared" si="28"/>
        <v>12.330129518761336</v>
      </c>
      <c r="AC27" s="25">
        <v>7.0000000000000007E-2</v>
      </c>
      <c r="AD27" s="5" t="s">
        <v>8</v>
      </c>
      <c r="AE27" s="145">
        <v>6.8500000000000005E-2</v>
      </c>
      <c r="AF27" s="145">
        <v>6.881818181818182E-2</v>
      </c>
      <c r="AG27" s="145">
        <v>6.9136363636363649E-2</v>
      </c>
      <c r="AH27" s="145">
        <v>6.9454545454545463E-2</v>
      </c>
      <c r="AI27" s="145">
        <v>6.9772727272727278E-2</v>
      </c>
      <c r="AJ27" s="145">
        <v>7.0090909090909093E-2</v>
      </c>
      <c r="AK27" s="145">
        <v>7.0409090909090907E-2</v>
      </c>
      <c r="AL27" s="145">
        <v>7.0727272727272722E-2</v>
      </c>
      <c r="AM27" s="145">
        <v>7.1045454545454551E-2</v>
      </c>
      <c r="AN27" s="145">
        <v>7.1363636363636365E-2</v>
      </c>
      <c r="AO27" s="145">
        <v>7.168181818181818E-2</v>
      </c>
      <c r="AP27" s="145">
        <v>7.1999999999999995E-2</v>
      </c>
      <c r="AQ27" s="26"/>
      <c r="AR27" s="23"/>
    </row>
    <row r="28" spans="2:44" x14ac:dyDescent="0.2">
      <c r="B28" s="8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6"/>
      <c r="P28" s="24"/>
      <c r="Q28" s="8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0"/>
      <c r="AC28" s="25"/>
      <c r="AD28" s="8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26"/>
      <c r="AR28" s="26"/>
    </row>
    <row r="29" spans="2:44" x14ac:dyDescent="0.2">
      <c r="B29" s="17" t="s">
        <v>1</v>
      </c>
      <c r="C29" s="18">
        <f t="shared" ref="C29:N29" si="44">C20</f>
        <v>6490</v>
      </c>
      <c r="D29" s="18">
        <f t="shared" si="44"/>
        <v>6622.659090909091</v>
      </c>
      <c r="E29" s="18">
        <f t="shared" si="44"/>
        <v>6802.0090909090904</v>
      </c>
      <c r="F29" s="18">
        <f t="shared" si="44"/>
        <v>7027.8590909090917</v>
      </c>
      <c r="G29" s="18">
        <f t="shared" si="44"/>
        <v>7346.9636363636364</v>
      </c>
      <c r="H29" s="18">
        <f t="shared" si="44"/>
        <v>7735.5000000000009</v>
      </c>
      <c r="I29" s="18">
        <f t="shared" si="44"/>
        <v>8193.181818181818</v>
      </c>
      <c r="J29" s="18">
        <f t="shared" si="44"/>
        <v>8789.8545454545456</v>
      </c>
      <c r="K29" s="18">
        <f t="shared" si="44"/>
        <v>9548.2909090909088</v>
      </c>
      <c r="L29" s="18">
        <f t="shared" si="44"/>
        <v>10479.479545454547</v>
      </c>
      <c r="M29" s="18">
        <f t="shared" si="44"/>
        <v>11612.970909090911</v>
      </c>
      <c r="N29" s="18">
        <f t="shared" si="44"/>
        <v>12987.217500000001</v>
      </c>
      <c r="O29" s="19">
        <f t="shared" si="26"/>
        <v>7.6829185054990923E-2</v>
      </c>
      <c r="P29" s="24"/>
      <c r="Q29" s="17" t="s">
        <v>1</v>
      </c>
      <c r="R29" s="28">
        <f t="shared" ref="R29:AB36" si="45">(D29/C29-1)*100</f>
        <v>2.0440537890460853</v>
      </c>
      <c r="S29" s="28">
        <f t="shared" si="45"/>
        <v>2.7081267137273102</v>
      </c>
      <c r="T29" s="28">
        <f t="shared" si="45"/>
        <v>3.3203425191220326</v>
      </c>
      <c r="U29" s="28">
        <f t="shared" si="45"/>
        <v>4.5405655026197644</v>
      </c>
      <c r="V29" s="28">
        <f t="shared" si="45"/>
        <v>5.2883937210919552</v>
      </c>
      <c r="W29" s="28">
        <f t="shared" si="45"/>
        <v>5.9166416932559862</v>
      </c>
      <c r="X29" s="28">
        <f t="shared" si="45"/>
        <v>7.2825520110957109</v>
      </c>
      <c r="Y29" s="28">
        <f t="shared" si="45"/>
        <v>8.6285428241650521</v>
      </c>
      <c r="Z29" s="28">
        <f t="shared" si="45"/>
        <v>9.7524116643435743</v>
      </c>
      <c r="AA29" s="28">
        <f t="shared" si="45"/>
        <v>10.816294442103413</v>
      </c>
      <c r="AB29" s="28">
        <f t="shared" si="45"/>
        <v>11.83372111811023</v>
      </c>
      <c r="AC29" s="25"/>
      <c r="AD29" s="17" t="s">
        <v>1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J29" s="20">
        <v>1</v>
      </c>
      <c r="AK29" s="20">
        <v>1</v>
      </c>
      <c r="AL29" s="20">
        <v>1</v>
      </c>
      <c r="AM29" s="20">
        <v>1</v>
      </c>
      <c r="AN29" s="20">
        <v>1</v>
      </c>
      <c r="AO29" s="20">
        <v>1</v>
      </c>
      <c r="AP29" s="20">
        <v>1</v>
      </c>
      <c r="AQ29" s="26"/>
      <c r="AR29" s="26"/>
    </row>
    <row r="30" spans="2:44" s="115" customFormat="1" x14ac:dyDescent="0.2">
      <c r="B30" s="77" t="s">
        <v>42</v>
      </c>
      <c r="C30" s="130">
        <f>C29*AE30</f>
        <v>1233.0999999999999</v>
      </c>
      <c r="D30" s="130">
        <f t="shared" ref="D30:N30" si="46">D29*AF30</f>
        <v>1254.0908078512396</v>
      </c>
      <c r="E30" s="130">
        <f t="shared" si="46"/>
        <v>1283.7246247933883</v>
      </c>
      <c r="F30" s="130">
        <f t="shared" si="46"/>
        <v>1321.876405371901</v>
      </c>
      <c r="G30" s="130">
        <f t="shared" si="46"/>
        <v>1377.2217289256198</v>
      </c>
      <c r="H30" s="130">
        <f t="shared" si="46"/>
        <v>1445.1320454545455</v>
      </c>
      <c r="I30" s="130">
        <f t="shared" si="46"/>
        <v>1525.4214876033056</v>
      </c>
      <c r="J30" s="130">
        <f t="shared" si="46"/>
        <v>1630.9175570247933</v>
      </c>
      <c r="K30" s="130">
        <f t="shared" si="46"/>
        <v>1765.565791735537</v>
      </c>
      <c r="L30" s="130">
        <f t="shared" si="46"/>
        <v>1931.0822762396697</v>
      </c>
      <c r="M30" s="130">
        <f t="shared" si="46"/>
        <v>2132.5637487603308</v>
      </c>
      <c r="N30" s="130">
        <f t="shared" si="46"/>
        <v>2376.6608025</v>
      </c>
      <c r="O30" s="98">
        <f t="shared" si="26"/>
        <v>7.3657265723944487E-2</v>
      </c>
      <c r="P30" s="132"/>
      <c r="Q30" s="77" t="s">
        <v>42</v>
      </c>
      <c r="R30" s="133">
        <f t="shared" si="45"/>
        <v>1.7022794462119517</v>
      </c>
      <c r="S30" s="133">
        <f t="shared" si="45"/>
        <v>2.3629721832443273</v>
      </c>
      <c r="T30" s="133">
        <f t="shared" si="45"/>
        <v>2.9719598613022757</v>
      </c>
      <c r="U30" s="133">
        <f t="shared" si="45"/>
        <v>4.1868758174973042</v>
      </c>
      <c r="V30" s="133">
        <f t="shared" si="45"/>
        <v>4.9309646444442246</v>
      </c>
      <c r="W30" s="133">
        <f t="shared" si="45"/>
        <v>5.5558550792156991</v>
      </c>
      <c r="X30" s="133">
        <f t="shared" si="45"/>
        <v>6.9158636009015284</v>
      </c>
      <c r="Y30" s="133">
        <f t="shared" si="45"/>
        <v>8.2559804528915759</v>
      </c>
      <c r="Z30" s="133">
        <f t="shared" si="45"/>
        <v>9.3746993331486941</v>
      </c>
      <c r="AA30" s="133">
        <f t="shared" si="45"/>
        <v>10.43360373608726</v>
      </c>
      <c r="AB30" s="133">
        <f t="shared" si="28"/>
        <v>11.446178520176197</v>
      </c>
      <c r="AC30" s="74">
        <v>0.01</v>
      </c>
      <c r="AD30" s="77" t="s">
        <v>42</v>
      </c>
      <c r="AE30" s="75">
        <v>0.19</v>
      </c>
      <c r="AF30" s="75">
        <v>0.18936363636363635</v>
      </c>
      <c r="AG30" s="75">
        <v>0.18872727272727272</v>
      </c>
      <c r="AH30" s="75">
        <v>0.18809090909090909</v>
      </c>
      <c r="AI30" s="75">
        <v>0.18745454545454546</v>
      </c>
      <c r="AJ30" s="75">
        <v>0.1868181818181818</v>
      </c>
      <c r="AK30" s="75">
        <v>0.18618181818181817</v>
      </c>
      <c r="AL30" s="75">
        <v>0.18554545454545454</v>
      </c>
      <c r="AM30" s="75">
        <v>0.18490909090909088</v>
      </c>
      <c r="AN30" s="75">
        <v>0.18427272727272725</v>
      </c>
      <c r="AO30" s="75">
        <v>0.18363636363636363</v>
      </c>
      <c r="AP30" s="75">
        <v>0.183</v>
      </c>
      <c r="AQ30" s="136"/>
      <c r="AR30" s="136"/>
    </row>
    <row r="31" spans="2:44" x14ac:dyDescent="0.2">
      <c r="B31" s="8" t="s">
        <v>43</v>
      </c>
      <c r="C31" s="21">
        <f>C29*AE31</f>
        <v>1031.9100000000001</v>
      </c>
      <c r="D31" s="21">
        <f t="shared" ref="D31:N31" si="47">D29*AF31</f>
        <v>1053.6048553719008</v>
      </c>
      <c r="E31" s="21">
        <f t="shared" si="47"/>
        <v>1082.7561743801652</v>
      </c>
      <c r="F31" s="21">
        <f t="shared" si="47"/>
        <v>1119.3462842975209</v>
      </c>
      <c r="G31" s="21">
        <f t="shared" si="47"/>
        <v>1170.8388413223142</v>
      </c>
      <c r="H31" s="21">
        <f t="shared" si="47"/>
        <v>1233.4606363636365</v>
      </c>
      <c r="I31" s="21">
        <f t="shared" si="47"/>
        <v>1307.1849173553719</v>
      </c>
      <c r="J31" s="21">
        <f t="shared" si="47"/>
        <v>1403.1804165289257</v>
      </c>
      <c r="K31" s="21">
        <f t="shared" si="47"/>
        <v>1525.1224661157025</v>
      </c>
      <c r="L31" s="21">
        <f t="shared" si="47"/>
        <v>1674.8113673553723</v>
      </c>
      <c r="M31" s="21">
        <f t="shared" si="47"/>
        <v>1857.0196208264467</v>
      </c>
      <c r="N31" s="21">
        <f t="shared" si="47"/>
        <v>2077.9548</v>
      </c>
      <c r="O31" s="19">
        <f t="shared" si="26"/>
        <v>7.7354638963781586E-2</v>
      </c>
      <c r="P31" s="24"/>
      <c r="Q31" s="8" t="s">
        <v>43</v>
      </c>
      <c r="R31" s="30">
        <f t="shared" si="45"/>
        <v>2.1023980164840639</v>
      </c>
      <c r="S31" s="30">
        <f t="shared" si="45"/>
        <v>2.7668170718494478</v>
      </c>
      <c r="T31" s="30">
        <f t="shared" si="45"/>
        <v>3.3793489968599877</v>
      </c>
      <c r="U31" s="30">
        <f t="shared" si="45"/>
        <v>4.6002347751669115</v>
      </c>
      <c r="V31" s="30">
        <f t="shared" si="45"/>
        <v>5.3484555543612533</v>
      </c>
      <c r="W31" s="30">
        <f t="shared" si="45"/>
        <v>5.9770274638906828</v>
      </c>
      <c r="X31" s="30">
        <f t="shared" si="45"/>
        <v>7.3436816703612795</v>
      </c>
      <c r="Y31" s="30">
        <f t="shared" si="45"/>
        <v>8.6904041811264108</v>
      </c>
      <c r="Z31" s="30">
        <f t="shared" si="45"/>
        <v>9.8148774649493564</v>
      </c>
      <c r="AA31" s="30">
        <f t="shared" si="45"/>
        <v>10.879329876939646</v>
      </c>
      <c r="AB31" s="30">
        <f t="shared" si="28"/>
        <v>11.897299128978966</v>
      </c>
      <c r="AC31" s="25">
        <v>0.03</v>
      </c>
      <c r="AD31" s="8" t="s">
        <v>43</v>
      </c>
      <c r="AE31" s="61">
        <v>0.159</v>
      </c>
      <c r="AF31" s="61">
        <v>0.15909090909090909</v>
      </c>
      <c r="AG31" s="61">
        <v>0.1591818181818182</v>
      </c>
      <c r="AH31" s="61">
        <v>0.15927272727272729</v>
      </c>
      <c r="AI31" s="61">
        <v>0.15936363636363637</v>
      </c>
      <c r="AJ31" s="61">
        <v>0.15945454545454546</v>
      </c>
      <c r="AK31" s="61">
        <v>0.15954545454545455</v>
      </c>
      <c r="AL31" s="61">
        <v>0.15963636363636363</v>
      </c>
      <c r="AM31" s="61">
        <v>0.15972727272727275</v>
      </c>
      <c r="AN31" s="61">
        <v>0.15981818181818183</v>
      </c>
      <c r="AO31" s="61">
        <v>0.15990909090909092</v>
      </c>
      <c r="AP31" s="61">
        <v>0.16</v>
      </c>
      <c r="AQ31" s="26"/>
      <c r="AR31" s="26"/>
    </row>
    <row r="32" spans="2:44" s="115" customFormat="1" x14ac:dyDescent="0.2">
      <c r="B32" s="77" t="s">
        <v>44</v>
      </c>
      <c r="C32" s="130">
        <f>C29*AE32</f>
        <v>1044.8900000000001</v>
      </c>
      <c r="D32" s="130">
        <f t="shared" ref="D32:N32" si="48">D29*AF32</f>
        <v>1064.14090392562</v>
      </c>
      <c r="E32" s="130">
        <f t="shared" si="48"/>
        <v>1090.7949123966941</v>
      </c>
      <c r="F32" s="130">
        <f t="shared" si="48"/>
        <v>1124.7769026859505</v>
      </c>
      <c r="G32" s="130">
        <f t="shared" si="48"/>
        <v>1173.51046446281</v>
      </c>
      <c r="H32" s="130">
        <f t="shared" si="48"/>
        <v>1233.109022727273</v>
      </c>
      <c r="I32" s="130">
        <f t="shared" si="48"/>
        <v>1303.4607438016531</v>
      </c>
      <c r="J32" s="130">
        <f t="shared" si="48"/>
        <v>1395.5891785123968</v>
      </c>
      <c r="K32" s="130">
        <f t="shared" si="48"/>
        <v>1512.9700958677686</v>
      </c>
      <c r="L32" s="130">
        <f t="shared" si="48"/>
        <v>1657.1867881198352</v>
      </c>
      <c r="M32" s="130">
        <f t="shared" si="48"/>
        <v>1832.7379543801658</v>
      </c>
      <c r="N32" s="130">
        <f t="shared" si="48"/>
        <v>2045.4867562500001</v>
      </c>
      <c r="O32" s="98">
        <f t="shared" si="26"/>
        <v>7.4977350257964925E-2</v>
      </c>
      <c r="P32" s="132"/>
      <c r="Q32" s="77" t="s">
        <v>44</v>
      </c>
      <c r="R32" s="133">
        <f t="shared" si="45"/>
        <v>1.8423856985539055</v>
      </c>
      <c r="S32" s="133">
        <f t="shared" ref="S32:S36" si="49">(E32/D32-1)*100</f>
        <v>2.5047442845911982</v>
      </c>
      <c r="T32" s="133">
        <f t="shared" ref="T32:T36" si="50">(F32/E32-1)*100</f>
        <v>3.1153418395206023</v>
      </c>
      <c r="U32" s="133">
        <f t="shared" ref="U32:U36" si="51">(G32/F32-1)*100</f>
        <v>4.332731376372001</v>
      </c>
      <c r="V32" s="133">
        <f t="shared" ref="V32:V36" si="52">(H32/G32-1)*100</f>
        <v>5.0786558849941876</v>
      </c>
      <c r="W32" s="133">
        <f t="shared" ref="W32:W36" si="53">(I32/H32-1)*100</f>
        <v>5.7052312307944053</v>
      </c>
      <c r="X32" s="133">
        <f t="shared" ref="X32:X36" si="54">(J32/I32-1)*100</f>
        <v>7.0679869070735091</v>
      </c>
      <c r="Y32" s="133">
        <f t="shared" ref="Y32:Y36" si="55">(K32/J32-1)*100</f>
        <v>8.4108503535755386</v>
      </c>
      <c r="Z32" s="133">
        <f t="shared" ref="Z32:Z36" si="56">(L32/K32-1)*100</f>
        <v>9.53202529553967</v>
      </c>
      <c r="AA32" s="133">
        <f t="shared" ref="AA32:AA36" si="57">(M32/L32-1)*100</f>
        <v>10.593324030751084</v>
      </c>
      <c r="AB32" s="133">
        <f t="shared" si="28"/>
        <v>11.608249906178546</v>
      </c>
      <c r="AC32" s="74">
        <v>0.02</v>
      </c>
      <c r="AD32" s="77" t="s">
        <v>44</v>
      </c>
      <c r="AE32" s="75">
        <v>0.161</v>
      </c>
      <c r="AF32" s="75">
        <v>0.1606818181818182</v>
      </c>
      <c r="AG32" s="75">
        <v>0.16036363636363637</v>
      </c>
      <c r="AH32" s="75">
        <v>0.16004545454545455</v>
      </c>
      <c r="AI32" s="75">
        <v>0.15972727272727275</v>
      </c>
      <c r="AJ32" s="75">
        <v>0.15940909090909092</v>
      </c>
      <c r="AK32" s="75">
        <v>0.15909090909090912</v>
      </c>
      <c r="AL32" s="75">
        <v>0.15877272727272729</v>
      </c>
      <c r="AM32" s="75">
        <v>0.15845454545454546</v>
      </c>
      <c r="AN32" s="75">
        <v>0.15813636363636366</v>
      </c>
      <c r="AO32" s="75">
        <v>0.15781818181818183</v>
      </c>
      <c r="AP32" s="75">
        <v>0.1575</v>
      </c>
      <c r="AQ32" s="136"/>
      <c r="AR32" s="136"/>
    </row>
    <row r="33" spans="2:42" x14ac:dyDescent="0.2">
      <c r="B33" s="8" t="s">
        <v>45</v>
      </c>
      <c r="C33" s="21">
        <f>C29*AE33</f>
        <v>791.78</v>
      </c>
      <c r="D33" s="21">
        <f t="shared" ref="D33:N33" si="58">D29*AF33</f>
        <v>809.40935289256197</v>
      </c>
      <c r="E33" s="21">
        <f t="shared" si="58"/>
        <v>832.8132585123966</v>
      </c>
      <c r="F33" s="21">
        <f t="shared" si="58"/>
        <v>861.99886231404969</v>
      </c>
      <c r="G33" s="21">
        <f t="shared" si="58"/>
        <v>902.74145917355372</v>
      </c>
      <c r="H33" s="21">
        <f t="shared" si="58"/>
        <v>952.16972727272741</v>
      </c>
      <c r="I33" s="21">
        <f t="shared" si="58"/>
        <v>1010.2938016528925</v>
      </c>
      <c r="J33" s="21">
        <f t="shared" si="58"/>
        <v>1085.7867596694216</v>
      </c>
      <c r="K33" s="21">
        <f t="shared" si="58"/>
        <v>1181.557598677686</v>
      </c>
      <c r="L33" s="21">
        <f t="shared" si="58"/>
        <v>1299.0743916528929</v>
      </c>
      <c r="M33" s="21">
        <f t="shared" si="58"/>
        <v>1442.1198419834714</v>
      </c>
      <c r="N33" s="21">
        <f t="shared" si="58"/>
        <v>1615.6098570000001</v>
      </c>
      <c r="O33" s="19">
        <f t="shared" si="26"/>
        <v>7.8457811912590714E-2</v>
      </c>
      <c r="Q33" s="8" t="s">
        <v>45</v>
      </c>
      <c r="R33" s="30">
        <f t="shared" si="45"/>
        <v>2.2265468807701527</v>
      </c>
      <c r="S33" s="30">
        <f t="shared" si="49"/>
        <v>2.8914795135732918</v>
      </c>
      <c r="T33" s="30">
        <f t="shared" si="50"/>
        <v>3.5044595536081635</v>
      </c>
      <c r="U33" s="30">
        <f t="shared" si="51"/>
        <v>4.7265255954201502</v>
      </c>
      <c r="V33" s="30">
        <f t="shared" si="52"/>
        <v>5.4753515081078286</v>
      </c>
      <c r="W33" s="30">
        <f t="shared" si="53"/>
        <v>6.104381678532067</v>
      </c>
      <c r="X33" s="30">
        <f t="shared" si="54"/>
        <v>7.4723766386588508</v>
      </c>
      <c r="Y33" s="30">
        <f t="shared" si="55"/>
        <v>8.8204095468453545</v>
      </c>
      <c r="Z33" s="30">
        <f t="shared" si="56"/>
        <v>9.9459216467079781</v>
      </c>
      <c r="AA33" s="30">
        <f t="shared" si="57"/>
        <v>11.011336321438293</v>
      </c>
      <c r="AB33" s="30">
        <f t="shared" si="28"/>
        <v>12.03020789020648</v>
      </c>
      <c r="AC33" s="25">
        <v>0.06</v>
      </c>
      <c r="AD33" s="8" t="s">
        <v>45</v>
      </c>
      <c r="AE33" s="33">
        <v>0.122</v>
      </c>
      <c r="AF33" s="33">
        <v>0.12221818181818182</v>
      </c>
      <c r="AG33" s="33">
        <v>0.12243636363636363</v>
      </c>
      <c r="AH33" s="33">
        <v>0.12265454545454546</v>
      </c>
      <c r="AI33" s="33">
        <v>0.12287272727272727</v>
      </c>
      <c r="AJ33" s="33">
        <v>0.1230909090909091</v>
      </c>
      <c r="AK33" s="33">
        <v>0.12330909090909091</v>
      </c>
      <c r="AL33" s="33">
        <v>0.12352727272727274</v>
      </c>
      <c r="AM33" s="33">
        <v>0.12374545454545455</v>
      </c>
      <c r="AN33" s="33">
        <v>0.12396363636363637</v>
      </c>
      <c r="AO33" s="33">
        <v>0.12418181818181818</v>
      </c>
      <c r="AP33" s="33">
        <v>0.12440000000000001</v>
      </c>
    </row>
    <row r="34" spans="2:42" x14ac:dyDescent="0.2">
      <c r="B34" s="8" t="s">
        <v>46</v>
      </c>
      <c r="C34" s="21">
        <f>C29*AE34</f>
        <v>798.27</v>
      </c>
      <c r="D34" s="21">
        <f t="shared" ref="D34:N34" si="59">D29*AF34</f>
        <v>816.21262995867767</v>
      </c>
      <c r="E34" s="21">
        <f t="shared" si="59"/>
        <v>839.98628628099164</v>
      </c>
      <c r="F34" s="21">
        <f t="shared" si="59"/>
        <v>869.60172805785135</v>
      </c>
      <c r="G34" s="21">
        <f t="shared" si="59"/>
        <v>910.88990975206605</v>
      </c>
      <c r="H34" s="21">
        <f t="shared" si="59"/>
        <v>960.96006818181831</v>
      </c>
      <c r="I34" s="21">
        <f t="shared" si="59"/>
        <v>1019.8276859504132</v>
      </c>
      <c r="J34" s="21">
        <f t="shared" si="59"/>
        <v>1096.254677355372</v>
      </c>
      <c r="K34" s="21">
        <f t="shared" si="59"/>
        <v>1193.1891530578512</v>
      </c>
      <c r="L34" s="21">
        <f t="shared" si="59"/>
        <v>1312.1261070867772</v>
      </c>
      <c r="M34" s="21">
        <f t="shared" si="59"/>
        <v>1456.8999867768598</v>
      </c>
      <c r="N34" s="21">
        <f t="shared" si="59"/>
        <v>1632.4932397500002</v>
      </c>
      <c r="O34" s="19">
        <f t="shared" si="26"/>
        <v>7.8643689871670253E-2</v>
      </c>
      <c r="Q34" s="8" t="s">
        <v>46</v>
      </c>
      <c r="R34" s="30">
        <f t="shared" si="45"/>
        <v>2.2476893731040448</v>
      </c>
      <c r="S34" s="30">
        <f t="shared" si="49"/>
        <v>2.912679300676535</v>
      </c>
      <c r="T34" s="30">
        <f t="shared" si="50"/>
        <v>3.5257053907369107</v>
      </c>
      <c r="U34" s="30">
        <f t="shared" si="51"/>
        <v>4.7479415417477133</v>
      </c>
      <c r="V34" s="30">
        <f t="shared" si="52"/>
        <v>5.4968397271390135</v>
      </c>
      <c r="W34" s="30">
        <f t="shared" si="53"/>
        <v>6.1259171653172961</v>
      </c>
      <c r="X34" s="30">
        <f t="shared" si="54"/>
        <v>7.4941083143603704</v>
      </c>
      <c r="Y34" s="30">
        <f t="shared" si="55"/>
        <v>8.842331777897261</v>
      </c>
      <c r="Z34" s="30">
        <f t="shared" si="56"/>
        <v>9.9679882040596635</v>
      </c>
      <c r="AA34" s="30">
        <f t="shared" si="57"/>
        <v>11.033533965078558</v>
      </c>
      <c r="AB34" s="30">
        <f t="shared" si="28"/>
        <v>12.052526224645677</v>
      </c>
      <c r="AC34" s="25">
        <v>0.05</v>
      </c>
      <c r="AD34" s="8" t="s">
        <v>46</v>
      </c>
      <c r="AE34" s="33">
        <v>0.123</v>
      </c>
      <c r="AF34" s="33">
        <v>0.12324545454545455</v>
      </c>
      <c r="AG34" s="33">
        <v>0.12349090909090908</v>
      </c>
      <c r="AH34" s="33">
        <v>0.12373636363636363</v>
      </c>
      <c r="AI34" s="33">
        <v>0.12398181818181818</v>
      </c>
      <c r="AJ34" s="33">
        <v>0.12422727272727273</v>
      </c>
      <c r="AK34" s="33">
        <v>0.12447272727272728</v>
      </c>
      <c r="AL34" s="33">
        <v>0.12471818181818183</v>
      </c>
      <c r="AM34" s="33">
        <v>0.12496363636363636</v>
      </c>
      <c r="AN34" s="33">
        <v>0.12520909090909091</v>
      </c>
      <c r="AO34" s="33">
        <v>0.12545454545454546</v>
      </c>
      <c r="AP34" s="33">
        <v>0.12570000000000001</v>
      </c>
    </row>
    <row r="35" spans="2:42" x14ac:dyDescent="0.2">
      <c r="B35" s="9" t="s">
        <v>47</v>
      </c>
      <c r="C35" s="21">
        <f>C29*AE35</f>
        <v>584.1</v>
      </c>
      <c r="D35" s="21">
        <f t="shared" ref="D35:N35" si="60">D29*AF35</f>
        <v>597.06282004132231</v>
      </c>
      <c r="E35" s="21">
        <f t="shared" si="60"/>
        <v>614.2832573553718</v>
      </c>
      <c r="F35" s="21">
        <f t="shared" si="60"/>
        <v>635.76568921487615</v>
      </c>
      <c r="G35" s="21">
        <f t="shared" si="60"/>
        <v>665.76848661157021</v>
      </c>
      <c r="H35" s="21">
        <f t="shared" si="60"/>
        <v>702.17243181818196</v>
      </c>
      <c r="I35" s="21">
        <f t="shared" si="60"/>
        <v>744.9836776859504</v>
      </c>
      <c r="J35" s="21">
        <f t="shared" si="60"/>
        <v>800.59593355371908</v>
      </c>
      <c r="K35" s="21">
        <f t="shared" si="60"/>
        <v>871.1513414876033</v>
      </c>
      <c r="L35" s="21">
        <f t="shared" si="60"/>
        <v>957.72916245867805</v>
      </c>
      <c r="M35" s="21">
        <f t="shared" si="60"/>
        <v>1063.114700495868</v>
      </c>
      <c r="N35" s="21">
        <f t="shared" si="60"/>
        <v>1190.9278447500001</v>
      </c>
      <c r="O35" s="19">
        <f t="shared" si="26"/>
        <v>7.8393799572319622E-2</v>
      </c>
      <c r="Q35" s="9" t="s">
        <v>47</v>
      </c>
      <c r="R35" s="30">
        <f t="shared" si="45"/>
        <v>2.2192809521181855</v>
      </c>
      <c r="S35" s="30">
        <f t="shared" si="49"/>
        <v>2.8841918699371805</v>
      </c>
      <c r="T35" s="30">
        <f t="shared" si="50"/>
        <v>3.4971540575582383</v>
      </c>
      <c r="U35" s="30">
        <f t="shared" si="51"/>
        <v>4.7191595749284998</v>
      </c>
      <c r="V35" s="30">
        <f t="shared" si="52"/>
        <v>5.4679585980240253</v>
      </c>
      <c r="W35" s="30">
        <f t="shared" si="53"/>
        <v>6.0969704773105926</v>
      </c>
      <c r="X35" s="30">
        <f t="shared" si="54"/>
        <v>7.4648958807406407</v>
      </c>
      <c r="Y35" s="30">
        <f t="shared" si="55"/>
        <v>8.8128611421619318</v>
      </c>
      <c r="Z35" s="30">
        <f t="shared" si="56"/>
        <v>9.9383214888049132</v>
      </c>
      <c r="AA35" s="30">
        <f t="shared" si="57"/>
        <v>11.003688951753809</v>
      </c>
      <c r="AB35" s="30">
        <f t="shared" si="28"/>
        <v>12.022516873721734</v>
      </c>
      <c r="AC35" s="25">
        <v>7.0000000000000007E-2</v>
      </c>
      <c r="AD35" s="9" t="s">
        <v>47</v>
      </c>
      <c r="AE35" s="61">
        <v>0.09</v>
      </c>
      <c r="AF35" s="61">
        <v>9.0154545454545459E-2</v>
      </c>
      <c r="AG35" s="61">
        <v>9.0309090909090908E-2</v>
      </c>
      <c r="AH35" s="61">
        <v>9.0463636363636371E-2</v>
      </c>
      <c r="AI35" s="61">
        <v>9.061818181818182E-2</v>
      </c>
      <c r="AJ35" s="61">
        <v>9.0772727272727283E-2</v>
      </c>
      <c r="AK35" s="61">
        <v>9.0927272727272732E-2</v>
      </c>
      <c r="AL35" s="61">
        <v>9.1081818181818194E-2</v>
      </c>
      <c r="AM35" s="61">
        <v>9.1236363636363643E-2</v>
      </c>
      <c r="AN35" s="61">
        <v>9.1390909090909106E-2</v>
      </c>
      <c r="AO35" s="61">
        <v>9.1545454545454555E-2</v>
      </c>
      <c r="AP35" s="61">
        <v>9.1700000000000004E-2</v>
      </c>
    </row>
    <row r="36" spans="2:42" x14ac:dyDescent="0.2">
      <c r="B36" s="9" t="s">
        <v>48</v>
      </c>
      <c r="C36" s="21">
        <f>C29*AE36</f>
        <v>1005.9500000000002</v>
      </c>
      <c r="D36" s="21">
        <f t="shared" ref="D36:N36" si="61">D29*AF36</f>
        <v>1028.1377208677688</v>
      </c>
      <c r="E36" s="21">
        <f t="shared" si="61"/>
        <v>1057.6505771900827</v>
      </c>
      <c r="F36" s="21">
        <f t="shared" si="61"/>
        <v>1094.4932189669423</v>
      </c>
      <c r="G36" s="21">
        <f t="shared" si="61"/>
        <v>1145.9927461157026</v>
      </c>
      <c r="H36" s="21">
        <f t="shared" si="61"/>
        <v>1208.4960681818184</v>
      </c>
      <c r="I36" s="21">
        <f t="shared" si="61"/>
        <v>1282.0095041322315</v>
      </c>
      <c r="J36" s="21">
        <f t="shared" si="61"/>
        <v>1377.5300228099175</v>
      </c>
      <c r="K36" s="21">
        <f t="shared" si="61"/>
        <v>1498.7344621487603</v>
      </c>
      <c r="L36" s="21">
        <f t="shared" si="61"/>
        <v>1647.4694525413227</v>
      </c>
      <c r="M36" s="21">
        <f t="shared" si="61"/>
        <v>1828.515055867769</v>
      </c>
      <c r="N36" s="21">
        <f t="shared" si="61"/>
        <v>2048.0841997500002</v>
      </c>
      <c r="O36" s="19">
        <f t="shared" si="26"/>
        <v>7.8273514729976457E-2</v>
      </c>
      <c r="Q36" s="9" t="s">
        <v>48</v>
      </c>
      <c r="R36" s="30">
        <f t="shared" si="45"/>
        <v>2.2056484783308017</v>
      </c>
      <c r="S36" s="30">
        <f t="shared" si="49"/>
        <v>2.8705158582650103</v>
      </c>
      <c r="T36" s="30">
        <f t="shared" si="50"/>
        <v>3.4834417501800496</v>
      </c>
      <c r="U36" s="30">
        <f t="shared" si="51"/>
        <v>4.7053308559891427</v>
      </c>
      <c r="V36" s="30">
        <f t="shared" si="52"/>
        <v>5.4540765880035647</v>
      </c>
      <c r="W36" s="30">
        <f t="shared" si="53"/>
        <v>6.0830513136061803</v>
      </c>
      <c r="X36" s="30">
        <f t="shared" si="54"/>
        <v>7.4508432558261006</v>
      </c>
      <c r="Y36" s="30">
        <f t="shared" si="55"/>
        <v>8.7986786009648821</v>
      </c>
      <c r="Z36" s="30">
        <f t="shared" si="56"/>
        <v>9.9240388573782923</v>
      </c>
      <c r="AA36" s="30">
        <f t="shared" si="57"/>
        <v>10.989314736438494</v>
      </c>
      <c r="AB36" s="30">
        <f t="shared" si="28"/>
        <v>12.008057750338242</v>
      </c>
      <c r="AC36" s="25">
        <v>0.04</v>
      </c>
      <c r="AD36" s="9" t="s">
        <v>48</v>
      </c>
      <c r="AE36" s="61">
        <v>0.15500000000000003</v>
      </c>
      <c r="AF36" s="61">
        <v>0.15524545454545458</v>
      </c>
      <c r="AG36" s="61">
        <v>0.1554909090909091</v>
      </c>
      <c r="AH36" s="61">
        <v>0.15573636363636364</v>
      </c>
      <c r="AI36" s="61">
        <v>0.15598181818181819</v>
      </c>
      <c r="AJ36" s="61">
        <v>0.15622727272727274</v>
      </c>
      <c r="AK36" s="61">
        <v>0.15647272727272729</v>
      </c>
      <c r="AL36" s="61">
        <v>0.15671818181818184</v>
      </c>
      <c r="AM36" s="61">
        <v>0.15696363636363636</v>
      </c>
      <c r="AN36" s="61">
        <v>0.15720909090909091</v>
      </c>
      <c r="AO36" s="61">
        <v>0.15745454545454546</v>
      </c>
      <c r="AP36" s="61">
        <v>0.15770000000000001</v>
      </c>
    </row>
    <row r="37" spans="2:42" x14ac:dyDescent="0.2"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41" spans="2:42" x14ac:dyDescent="0.2">
      <c r="B41" s="8"/>
      <c r="C41" s="8"/>
      <c r="D41" s="66"/>
    </row>
    <row r="42" spans="2:42" x14ac:dyDescent="0.2">
      <c r="B42" s="8"/>
      <c r="C42" s="8"/>
      <c r="D42" s="66"/>
      <c r="AJ42" s="29">
        <v>2023</v>
      </c>
      <c r="AK42" s="29">
        <v>2030</v>
      </c>
    </row>
    <row r="43" spans="2:42" x14ac:dyDescent="0.2">
      <c r="B43" s="8"/>
      <c r="C43" s="8"/>
      <c r="AI43" s="2" t="str">
        <f>AD8</f>
        <v>Flexible Electronics</v>
      </c>
      <c r="AJ43" s="33">
        <f>AI8</f>
        <v>0.53372727272727272</v>
      </c>
      <c r="AK43" s="33">
        <f>AP8</f>
        <v>0.53149999999999997</v>
      </c>
    </row>
    <row r="44" spans="2:42" x14ac:dyDescent="0.2">
      <c r="B44" s="8"/>
      <c r="C44" s="8"/>
      <c r="AI44" s="5" t="str">
        <f>AD13</f>
        <v>Flexible Circuit</v>
      </c>
      <c r="AJ44" s="33">
        <f>AI13</f>
        <v>0.46627272727272728</v>
      </c>
      <c r="AK44" s="33">
        <f>AP13</f>
        <v>0.46850000000000003</v>
      </c>
    </row>
    <row r="45" spans="2:42" x14ac:dyDescent="0.2">
      <c r="B45" s="8"/>
      <c r="C45" s="8"/>
      <c r="AI45" s="5"/>
      <c r="AJ45" s="33"/>
      <c r="AK45" s="33"/>
    </row>
    <row r="46" spans="2:42" x14ac:dyDescent="0.2">
      <c r="AI46" s="5"/>
      <c r="AJ46" s="33"/>
      <c r="AK46" s="33"/>
    </row>
    <row r="47" spans="2:42" x14ac:dyDescent="0.2">
      <c r="B47" s="8"/>
      <c r="C47" s="8"/>
      <c r="D47" s="66"/>
      <c r="AI47" s="5"/>
      <c r="AJ47" s="33"/>
      <c r="AK47" s="33"/>
    </row>
    <row r="48" spans="2:42" x14ac:dyDescent="0.2">
      <c r="B48" s="8"/>
      <c r="C48" s="8"/>
      <c r="D48" s="66"/>
      <c r="AI48" s="5"/>
      <c r="AJ48" s="33"/>
      <c r="AK48" s="33"/>
    </row>
    <row r="49" spans="2:37" x14ac:dyDescent="0.2">
      <c r="B49" s="8"/>
      <c r="C49" s="8"/>
      <c r="D49" s="66"/>
    </row>
    <row r="50" spans="2:37" x14ac:dyDescent="0.2">
      <c r="B50" s="8"/>
      <c r="C50" s="8"/>
      <c r="D50" s="66"/>
    </row>
    <row r="53" spans="2:37" x14ac:dyDescent="0.2">
      <c r="B53" s="8"/>
      <c r="C53" s="8"/>
      <c r="D53" s="66"/>
    </row>
    <row r="54" spans="2:37" x14ac:dyDescent="0.2">
      <c r="B54" s="8"/>
      <c r="C54" s="8"/>
      <c r="D54" s="66"/>
    </row>
    <row r="55" spans="2:37" x14ac:dyDescent="0.2">
      <c r="B55" s="8"/>
      <c r="C55" s="8"/>
    </row>
    <row r="56" spans="2:37" x14ac:dyDescent="0.2">
      <c r="B56" s="8"/>
      <c r="C56" s="8"/>
    </row>
    <row r="57" spans="2:37" x14ac:dyDescent="0.2">
      <c r="B57" s="8"/>
      <c r="C57" s="8"/>
    </row>
    <row r="58" spans="2:37" x14ac:dyDescent="0.2">
      <c r="B58" s="8"/>
      <c r="C58" s="8"/>
    </row>
    <row r="60" spans="2:37" x14ac:dyDescent="0.2">
      <c r="AI60" s="5"/>
      <c r="AJ60" s="33"/>
      <c r="AK60" s="33"/>
    </row>
    <row r="62" spans="2:37" x14ac:dyDescent="0.2">
      <c r="AI62" s="4"/>
      <c r="AJ62" s="29">
        <v>2023</v>
      </c>
      <c r="AK62" s="29">
        <v>2030</v>
      </c>
    </row>
    <row r="63" spans="2:37" x14ac:dyDescent="0.2">
      <c r="AI63" s="2" t="str">
        <f t="shared" ref="AI63:AI69" si="62">AD21</f>
        <v>Automotive</v>
      </c>
      <c r="AJ63" s="4">
        <f t="shared" ref="AJ63:AJ69" si="63">AI21</f>
        <v>0.1805090909090909</v>
      </c>
      <c r="AK63" s="4">
        <f t="shared" ref="AK63:AK69" si="64">AP21</f>
        <v>0.18</v>
      </c>
    </row>
    <row r="64" spans="2:37" x14ac:dyDescent="0.2">
      <c r="AI64" s="2" t="str">
        <f t="shared" si="62"/>
        <v>Military, Defense and Aerospace</v>
      </c>
      <c r="AJ64" s="4">
        <f t="shared" si="63"/>
        <v>0.13871818181818182</v>
      </c>
      <c r="AK64" s="4">
        <f t="shared" si="64"/>
        <v>0.1391</v>
      </c>
    </row>
    <row r="65" spans="5:37" x14ac:dyDescent="0.2">
      <c r="AI65" s="2" t="str">
        <f t="shared" si="62"/>
        <v>Consumer Electronics</v>
      </c>
      <c r="AJ65" s="4">
        <f t="shared" si="63"/>
        <v>0.21182727272727273</v>
      </c>
      <c r="AK65" s="4">
        <f t="shared" si="64"/>
        <v>0.21099999999999999</v>
      </c>
    </row>
    <row r="66" spans="5:37" x14ac:dyDescent="0.2">
      <c r="AI66" s="2" t="str">
        <f t="shared" si="62"/>
        <v>Industrial</v>
      </c>
      <c r="AJ66" s="4">
        <f t="shared" si="63"/>
        <v>0.12201818181818182</v>
      </c>
      <c r="AK66" s="4">
        <f t="shared" si="64"/>
        <v>0.12239999999999999</v>
      </c>
    </row>
    <row r="67" spans="5:37" x14ac:dyDescent="0.2">
      <c r="AI67" s="2" t="str">
        <f t="shared" si="62"/>
        <v>Healthcare and Medical</v>
      </c>
      <c r="AJ67" s="4">
        <f t="shared" si="63"/>
        <v>0.20197272727272728</v>
      </c>
      <c r="AK67" s="4">
        <f t="shared" si="64"/>
        <v>0.2</v>
      </c>
    </row>
    <row r="68" spans="5:37" x14ac:dyDescent="0.2">
      <c r="AI68" s="2" t="str">
        <f t="shared" si="62"/>
        <v>Energy and Power</v>
      </c>
      <c r="AJ68" s="4">
        <f t="shared" si="63"/>
        <v>7.5181818181818183E-2</v>
      </c>
      <c r="AK68" s="4">
        <f t="shared" si="64"/>
        <v>7.5499999999999998E-2</v>
      </c>
    </row>
    <row r="69" spans="5:37" x14ac:dyDescent="0.2">
      <c r="AI69" s="2" t="str">
        <f t="shared" si="62"/>
        <v>Others</v>
      </c>
      <c r="AJ69" s="4">
        <f t="shared" si="63"/>
        <v>6.9772727272727278E-2</v>
      </c>
      <c r="AK69" s="4">
        <f t="shared" si="64"/>
        <v>7.1999999999999995E-2</v>
      </c>
    </row>
    <row r="70" spans="5:37" x14ac:dyDescent="0.2">
      <c r="AI70" s="8"/>
      <c r="AJ70" s="33"/>
      <c r="AK70" s="33"/>
    </row>
    <row r="71" spans="5:37" x14ac:dyDescent="0.2">
      <c r="AI71" s="8"/>
      <c r="AJ71" s="33"/>
      <c r="AK71" s="33"/>
    </row>
    <row r="72" spans="5:37" x14ac:dyDescent="0.2">
      <c r="E72" s="21"/>
      <c r="F72" s="21"/>
      <c r="G72" s="21"/>
      <c r="H72" s="21"/>
      <c r="I72" s="21"/>
      <c r="J72" s="21"/>
      <c r="K72" s="21"/>
      <c r="L72" s="21"/>
      <c r="M72" s="21"/>
      <c r="N72" s="21"/>
      <c r="AI72" s="8"/>
      <c r="AJ72" s="33"/>
      <c r="AK72" s="33"/>
    </row>
    <row r="73" spans="5:37" x14ac:dyDescent="0.2">
      <c r="F73" s="67"/>
      <c r="G73" s="67"/>
      <c r="H73" s="67"/>
      <c r="I73" s="67"/>
      <c r="J73" s="67"/>
      <c r="K73" s="67"/>
      <c r="L73" s="67"/>
      <c r="M73" s="67"/>
      <c r="N73" s="67"/>
      <c r="AI73" s="8"/>
      <c r="AJ73" s="33"/>
      <c r="AK73" s="33"/>
    </row>
    <row r="74" spans="5:37" x14ac:dyDescent="0.2">
      <c r="AI74" s="4"/>
      <c r="AJ74" s="4"/>
    </row>
    <row r="75" spans="5:37" x14ac:dyDescent="0.2">
      <c r="E75" s="48"/>
      <c r="AI75" s="4"/>
      <c r="AJ75" s="4"/>
    </row>
    <row r="76" spans="5:37" x14ac:dyDescent="0.2">
      <c r="E76" s="48"/>
      <c r="F76" s="67"/>
      <c r="AJ76" s="29">
        <v>2023</v>
      </c>
      <c r="AK76" s="29">
        <v>2030</v>
      </c>
    </row>
    <row r="77" spans="5:37" x14ac:dyDescent="0.2">
      <c r="E77" s="48"/>
      <c r="F77" s="67"/>
      <c r="AI77" s="8" t="str">
        <f>AD30</f>
        <v>Germany</v>
      </c>
      <c r="AJ77" s="33">
        <f>AI30</f>
        <v>0.18745454545454546</v>
      </c>
      <c r="AK77" s="33">
        <f>AP30</f>
        <v>0.183</v>
      </c>
    </row>
    <row r="78" spans="5:37" x14ac:dyDescent="0.2">
      <c r="E78" s="48"/>
      <c r="F78" s="67"/>
      <c r="AI78" s="8" t="str">
        <f>AD31</f>
        <v>France</v>
      </c>
      <c r="AJ78" s="33">
        <f>AI31</f>
        <v>0.15936363636363637</v>
      </c>
      <c r="AK78" s="33">
        <f>AP31</f>
        <v>0.16</v>
      </c>
    </row>
    <row r="79" spans="5:37" x14ac:dyDescent="0.2">
      <c r="E79" s="48"/>
      <c r="F79" s="67"/>
      <c r="AI79" s="8" t="str">
        <f>AD32</f>
        <v>UK</v>
      </c>
      <c r="AJ79" s="33">
        <f>AI32</f>
        <v>0.15972727272727275</v>
      </c>
      <c r="AK79" s="33">
        <f>AP32</f>
        <v>0.1575</v>
      </c>
    </row>
    <row r="80" spans="5:37" x14ac:dyDescent="0.2">
      <c r="E80" s="48"/>
      <c r="F80" s="67"/>
      <c r="AI80" s="8" t="str">
        <f t="shared" ref="AI80:AI83" si="65">AD33</f>
        <v>Russia</v>
      </c>
      <c r="AJ80" s="33">
        <f t="shared" ref="AJ80:AJ82" si="66">AI33</f>
        <v>0.12287272727272727</v>
      </c>
      <c r="AK80" s="33">
        <f t="shared" ref="AK80:AK83" si="67">AP33</f>
        <v>0.12440000000000001</v>
      </c>
    </row>
    <row r="81" spans="5:38" x14ac:dyDescent="0.2">
      <c r="E81" s="48"/>
      <c r="F81" s="67"/>
      <c r="AI81" s="8" t="str">
        <f t="shared" si="65"/>
        <v>Italy</v>
      </c>
      <c r="AJ81" s="33">
        <f t="shared" si="66"/>
        <v>0.12398181818181818</v>
      </c>
      <c r="AK81" s="33">
        <f t="shared" si="67"/>
        <v>0.12570000000000001</v>
      </c>
    </row>
    <row r="82" spans="5:38" x14ac:dyDescent="0.2">
      <c r="E82" s="48"/>
      <c r="F82" s="67"/>
      <c r="AI82" s="8" t="str">
        <f t="shared" si="65"/>
        <v>Spain</v>
      </c>
      <c r="AJ82" s="33">
        <f t="shared" si="66"/>
        <v>9.061818181818182E-2</v>
      </c>
      <c r="AK82" s="33">
        <f t="shared" si="67"/>
        <v>9.1700000000000004E-2</v>
      </c>
    </row>
    <row r="83" spans="5:38" x14ac:dyDescent="0.2">
      <c r="E83" s="48"/>
      <c r="F83" s="67"/>
      <c r="AI83" s="8" t="str">
        <f t="shared" si="65"/>
        <v>Rest of Europe</v>
      </c>
      <c r="AJ83" s="33">
        <f>AI36</f>
        <v>0.15598181818181819</v>
      </c>
      <c r="AK83" s="33">
        <f t="shared" si="67"/>
        <v>0.15770000000000001</v>
      </c>
    </row>
    <row r="84" spans="5:38" x14ac:dyDescent="0.2">
      <c r="E84" s="48"/>
      <c r="F84" s="67"/>
    </row>
    <row r="96" spans="5:38" x14ac:dyDescent="0.2">
      <c r="AK96" s="29"/>
      <c r="AL96" s="29"/>
    </row>
    <row r="97" spans="32:38" x14ac:dyDescent="0.2">
      <c r="AJ97" s="8"/>
      <c r="AK97" s="4"/>
      <c r="AL97" s="4"/>
    </row>
    <row r="98" spans="32:38" x14ac:dyDescent="0.2">
      <c r="AJ98" s="8"/>
      <c r="AK98" s="4"/>
      <c r="AL98" s="4"/>
    </row>
    <row r="99" spans="32:38" x14ac:dyDescent="0.2">
      <c r="AF99" s="8"/>
      <c r="AI99" s="8"/>
      <c r="AJ99" s="8"/>
      <c r="AK99" s="4"/>
      <c r="AL99" s="4"/>
    </row>
    <row r="100" spans="32:38" x14ac:dyDescent="0.2">
      <c r="AF100" s="8"/>
      <c r="AI100" s="8"/>
      <c r="AJ100" s="8"/>
      <c r="AK100" s="4"/>
      <c r="AL100" s="4"/>
    </row>
    <row r="101" spans="32:38" x14ac:dyDescent="0.2">
      <c r="AF101" s="8"/>
      <c r="AI101" s="8"/>
      <c r="AJ101" s="8"/>
      <c r="AK101" s="4"/>
      <c r="AL101" s="4"/>
    </row>
    <row r="102" spans="32:38" x14ac:dyDescent="0.2">
      <c r="AF102" s="8"/>
      <c r="AI102" s="8"/>
      <c r="AJ102" s="8"/>
      <c r="AK102" s="4"/>
      <c r="AL102" s="4"/>
    </row>
    <row r="103" spans="32:38" x14ac:dyDescent="0.2">
      <c r="AF103" s="8"/>
      <c r="AI103" s="8"/>
      <c r="AJ103" s="8"/>
      <c r="AK103" s="4"/>
      <c r="AL103" s="4"/>
    </row>
    <row r="104" spans="32:38" x14ac:dyDescent="0.2">
      <c r="AF104" s="9"/>
      <c r="AI104" s="9"/>
      <c r="AJ104" s="8"/>
      <c r="AK104" s="4"/>
      <c r="AL104" s="4"/>
    </row>
    <row r="105" spans="32:38" x14ac:dyDescent="0.2">
      <c r="AF105" s="9"/>
      <c r="AI105" s="9"/>
      <c r="AJ105" s="8"/>
      <c r="AK105" s="4"/>
      <c r="AL105" s="4"/>
    </row>
    <row r="106" spans="32:38" x14ac:dyDescent="0.2">
      <c r="AI106" s="73"/>
      <c r="AJ106" s="8"/>
      <c r="AK106" s="4"/>
      <c r="AL106" s="4"/>
    </row>
    <row r="107" spans="32:38" x14ac:dyDescent="0.2">
      <c r="AI107" s="8"/>
      <c r="AK107" s="4"/>
      <c r="AL107" s="4"/>
    </row>
    <row r="108" spans="32:38" x14ac:dyDescent="0.2">
      <c r="AI108" s="9"/>
    </row>
    <row r="109" spans="32:38" x14ac:dyDescent="0.2">
      <c r="AI109" s="9"/>
      <c r="AJ109" s="61"/>
      <c r="AK109" s="61"/>
    </row>
    <row r="117" spans="35:37" x14ac:dyDescent="0.2">
      <c r="AI117" s="8"/>
      <c r="AJ117" s="4"/>
      <c r="AK117" s="4"/>
    </row>
    <row r="118" spans="35:37" x14ac:dyDescent="0.2">
      <c r="AI118" s="8"/>
      <c r="AJ118" s="4"/>
      <c r="AK118" s="4"/>
    </row>
    <row r="119" spans="35:37" x14ac:dyDescent="0.2">
      <c r="AJ119" s="29"/>
      <c r="AK119" s="29"/>
    </row>
    <row r="120" spans="35:37" x14ac:dyDescent="0.2">
      <c r="AI120" s="8"/>
      <c r="AJ120" s="61"/>
      <c r="AK120" s="61"/>
    </row>
    <row r="121" spans="35:37" x14ac:dyDescent="0.2">
      <c r="AI121" s="8"/>
      <c r="AJ121" s="61"/>
      <c r="AK121" s="61"/>
    </row>
    <row r="122" spans="35:37" x14ac:dyDescent="0.2">
      <c r="AI122" s="8"/>
      <c r="AJ122" s="61"/>
      <c r="AK122" s="61"/>
    </row>
    <row r="123" spans="35:37" x14ac:dyDescent="0.2">
      <c r="AI123" s="8"/>
      <c r="AJ123" s="61"/>
      <c r="AK123" s="61"/>
    </row>
    <row r="124" spans="35:37" x14ac:dyDescent="0.2">
      <c r="AI124" s="8"/>
      <c r="AJ124" s="61"/>
      <c r="AK124" s="61"/>
    </row>
    <row r="125" spans="35:37" x14ac:dyDescent="0.2">
      <c r="AI125" s="9"/>
      <c r="AJ125" s="61"/>
      <c r="AK125" s="61"/>
    </row>
    <row r="126" spans="35:37" x14ac:dyDescent="0.2">
      <c r="AI126" s="9"/>
      <c r="AJ126" s="61"/>
      <c r="AK126" s="61"/>
    </row>
    <row r="127" spans="35:37" x14ac:dyDescent="0.2">
      <c r="AI127" s="8"/>
      <c r="AJ127" s="61"/>
      <c r="AK127" s="61"/>
    </row>
  </sheetData>
  <mergeCells count="6">
    <mergeCell ref="AF4:AP4"/>
    <mergeCell ref="B4:B6"/>
    <mergeCell ref="D4:M4"/>
    <mergeCell ref="Q4:Q6"/>
    <mergeCell ref="S4:AB4"/>
    <mergeCell ref="AD4:AD6"/>
  </mergeCells>
  <conditionalFormatting sqref="R8:AB19 R21:AB28 R30:AB36">
    <cfRule type="containsText" dxfId="7" priority="1" operator="containsText" text="volume or kilo">
      <formula>NOT(ISERROR(SEARCH("volume or kilo",R8)))</formula>
    </cfRule>
    <cfRule type="containsText" dxfId="6" priority="2" operator="containsText" text="volume">
      <formula>NOT(ISERROR(SEARCH("volume",R8)))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R127"/>
  <sheetViews>
    <sheetView topLeftCell="A23" zoomScale="90" zoomScaleNormal="90" workbookViewId="0">
      <selection activeCell="B30" sqref="B30:B38"/>
    </sheetView>
  </sheetViews>
  <sheetFormatPr baseColWidth="10" defaultColWidth="15.83203125" defaultRowHeight="15" x14ac:dyDescent="0.2"/>
  <cols>
    <col min="1" max="1" width="10.6640625" style="9" customWidth="1"/>
    <col min="2" max="2" width="27.6640625" style="9" customWidth="1"/>
    <col min="3" max="3" width="14.5" style="9" customWidth="1"/>
    <col min="4" max="4" width="13.6640625" style="9" customWidth="1"/>
    <col min="5" max="5" width="12.5" style="9" customWidth="1"/>
    <col min="6" max="6" width="12.6640625" style="9" customWidth="1"/>
    <col min="7" max="7" width="13.1640625" style="9" customWidth="1"/>
    <col min="8" max="8" width="12.5" style="9" customWidth="1"/>
    <col min="9" max="9" width="11.6640625" style="9" customWidth="1"/>
    <col min="10" max="10" width="11.5" style="9" customWidth="1"/>
    <col min="11" max="11" width="12.1640625" style="9" customWidth="1"/>
    <col min="12" max="12" width="12.5" style="9" customWidth="1"/>
    <col min="13" max="13" width="12.83203125" style="9" customWidth="1"/>
    <col min="14" max="14" width="12.1640625" style="9" customWidth="1"/>
    <col min="15" max="16" width="15.83203125" style="9"/>
    <col min="17" max="17" width="25.6640625" style="9" customWidth="1"/>
    <col min="18" max="28" width="15.83203125" style="12"/>
    <col min="29" max="29" width="15.83203125" style="12" customWidth="1"/>
    <col min="30" max="30" width="35.33203125" style="9" customWidth="1"/>
    <col min="31" max="31" width="13.6640625" style="12" customWidth="1"/>
    <col min="32" max="32" width="12.6640625" style="12" customWidth="1"/>
    <col min="33" max="33" width="14" style="12" customWidth="1"/>
    <col min="34" max="34" width="14.1640625" style="12" customWidth="1"/>
    <col min="35" max="35" width="13.5" style="12" customWidth="1"/>
    <col min="36" max="36" width="13" style="12" customWidth="1"/>
    <col min="37" max="37" width="13.33203125" style="12" customWidth="1"/>
    <col min="38" max="38" width="12.83203125" style="12" customWidth="1"/>
    <col min="39" max="39" width="13.5" style="12" customWidth="1"/>
    <col min="40" max="40" width="13" style="12" customWidth="1"/>
    <col min="41" max="42" width="12.33203125" style="12" customWidth="1"/>
    <col min="43" max="16384" width="15.83203125" style="9"/>
  </cols>
  <sheetData>
    <row r="3" spans="1:44" ht="16" x14ac:dyDescent="0.2">
      <c r="A3" s="65"/>
      <c r="D3" s="15"/>
    </row>
    <row r="4" spans="1:44" ht="15" customHeight="1" x14ac:dyDescent="0.2">
      <c r="B4" s="179" t="s">
        <v>36</v>
      </c>
      <c r="C4" s="10"/>
      <c r="D4" s="180" t="s">
        <v>3</v>
      </c>
      <c r="E4" s="180"/>
      <c r="F4" s="180"/>
      <c r="G4" s="180"/>
      <c r="H4" s="180"/>
      <c r="I4" s="180"/>
      <c r="J4" s="180"/>
      <c r="K4" s="180"/>
      <c r="L4" s="180"/>
      <c r="M4" s="180"/>
      <c r="N4" s="11"/>
      <c r="Q4" s="179" t="s">
        <v>36</v>
      </c>
      <c r="R4" s="28"/>
      <c r="S4" s="180" t="s">
        <v>4</v>
      </c>
      <c r="T4" s="180"/>
      <c r="U4" s="180"/>
      <c r="V4" s="180"/>
      <c r="W4" s="180"/>
      <c r="X4" s="180"/>
      <c r="Y4" s="180"/>
      <c r="Z4" s="180"/>
      <c r="AA4" s="180"/>
      <c r="AB4" s="180"/>
      <c r="AD4" s="179" t="s">
        <v>36</v>
      </c>
      <c r="AE4" s="13"/>
      <c r="AF4" s="178" t="s">
        <v>0</v>
      </c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26"/>
      <c r="AR4" s="26"/>
    </row>
    <row r="5" spans="1:44" x14ac:dyDescent="0.2">
      <c r="B5" s="179"/>
      <c r="C5" s="1">
        <v>2019</v>
      </c>
      <c r="D5" s="1">
        <v>2020</v>
      </c>
      <c r="E5" s="1">
        <v>2021</v>
      </c>
      <c r="F5" s="1">
        <v>2022</v>
      </c>
      <c r="G5" s="1">
        <v>2023</v>
      </c>
      <c r="H5" s="1">
        <v>2024</v>
      </c>
      <c r="I5" s="1">
        <v>2025</v>
      </c>
      <c r="J5" s="1">
        <v>2026</v>
      </c>
      <c r="K5" s="1">
        <v>2027</v>
      </c>
      <c r="L5" s="1">
        <v>2028</v>
      </c>
      <c r="M5" s="1">
        <v>2029</v>
      </c>
      <c r="N5" s="1">
        <v>2030</v>
      </c>
      <c r="O5" s="14" t="s">
        <v>69</v>
      </c>
      <c r="Q5" s="179"/>
      <c r="R5" s="29">
        <v>2020</v>
      </c>
      <c r="S5" s="29">
        <v>2021</v>
      </c>
      <c r="T5" s="29">
        <v>2022</v>
      </c>
      <c r="U5" s="29">
        <v>2023</v>
      </c>
      <c r="V5" s="29">
        <v>2024</v>
      </c>
      <c r="W5" s="29">
        <v>2025</v>
      </c>
      <c r="X5" s="29">
        <v>2026</v>
      </c>
      <c r="Y5" s="29">
        <v>2027</v>
      </c>
      <c r="Z5" s="29">
        <v>2028</v>
      </c>
      <c r="AA5" s="29">
        <v>2029</v>
      </c>
      <c r="AB5" s="29">
        <v>2030</v>
      </c>
      <c r="AD5" s="179"/>
      <c r="AE5" s="29">
        <v>2019</v>
      </c>
      <c r="AF5" s="29">
        <v>2020</v>
      </c>
      <c r="AG5" s="29">
        <v>2021</v>
      </c>
      <c r="AH5" s="29">
        <v>2022</v>
      </c>
      <c r="AI5" s="29">
        <v>2023</v>
      </c>
      <c r="AJ5" s="29">
        <v>2024</v>
      </c>
      <c r="AK5" s="29">
        <v>2025</v>
      </c>
      <c r="AL5" s="29">
        <v>2026</v>
      </c>
      <c r="AM5" s="29">
        <v>2027</v>
      </c>
      <c r="AN5" s="29">
        <v>2028</v>
      </c>
      <c r="AO5" s="29">
        <v>2029</v>
      </c>
      <c r="AP5" s="29">
        <v>2030</v>
      </c>
      <c r="AQ5" s="26"/>
      <c r="AR5" s="26"/>
    </row>
    <row r="6" spans="1:44" x14ac:dyDescent="0.2">
      <c r="B6" s="179"/>
      <c r="E6" s="15"/>
      <c r="Q6" s="179"/>
      <c r="AB6" s="36"/>
      <c r="AC6" s="36"/>
      <c r="AD6" s="179"/>
      <c r="AE6" s="16"/>
      <c r="AG6" s="39"/>
      <c r="AQ6" s="46"/>
      <c r="AR6" s="47"/>
    </row>
    <row r="7" spans="1:44" x14ac:dyDescent="0.2">
      <c r="B7" s="17" t="s">
        <v>9</v>
      </c>
      <c r="C7" s="18">
        <f>Global!C32</f>
        <v>5720</v>
      </c>
      <c r="D7" s="18">
        <f>Global!D32</f>
        <v>5849.909090909091</v>
      </c>
      <c r="E7" s="18">
        <f>Global!E32</f>
        <v>6021.7090909090912</v>
      </c>
      <c r="F7" s="18">
        <f>Global!F32</f>
        <v>6235.5090909090904</v>
      </c>
      <c r="G7" s="18">
        <f>Global!G32</f>
        <v>6533.1636363636362</v>
      </c>
      <c r="H7" s="18">
        <f>Global!H32</f>
        <v>6894</v>
      </c>
      <c r="I7" s="18">
        <f>Global!I32</f>
        <v>7318.1818181818189</v>
      </c>
      <c r="J7" s="18">
        <f>Global!J32</f>
        <v>7868.6545454545458</v>
      </c>
      <c r="K7" s="18">
        <f>Global!K32</f>
        <v>8566.6909090909085</v>
      </c>
      <c r="L7" s="18">
        <f>Global!L32</f>
        <v>9423.1545454545467</v>
      </c>
      <c r="M7" s="18">
        <f>Global!M32</f>
        <v>10465.730909090909</v>
      </c>
      <c r="N7" s="18">
        <f>Global!N32</f>
        <v>11730.39</v>
      </c>
      <c r="O7" s="19">
        <f>((N7/H7)^(1/7)-1)*100%</f>
        <v>7.8890354226099246E-2</v>
      </c>
      <c r="P7" s="24"/>
      <c r="Q7" s="17" t="s">
        <v>9</v>
      </c>
      <c r="R7" s="28">
        <f t="shared" ref="R7:AB18" si="0">(D7/C7-1)*100</f>
        <v>2.271137952956126</v>
      </c>
      <c r="S7" s="28">
        <f t="shared" si="0"/>
        <v>2.9367977746352025</v>
      </c>
      <c r="T7" s="28">
        <f t="shared" si="0"/>
        <v>3.5504870257311305</v>
      </c>
      <c r="U7" s="28">
        <f t="shared" si="0"/>
        <v>4.7735403976638224</v>
      </c>
      <c r="V7" s="28">
        <f t="shared" si="0"/>
        <v>5.5231490242789283</v>
      </c>
      <c r="W7" s="28">
        <f t="shared" si="0"/>
        <v>6.1529129414247041</v>
      </c>
      <c r="X7" s="28">
        <f t="shared" si="0"/>
        <v>7.5219875776397549</v>
      </c>
      <c r="Y7" s="28">
        <f t="shared" si="0"/>
        <v>8.8711019095328645</v>
      </c>
      <c r="Z7" s="28">
        <f t="shared" si="0"/>
        <v>9.9976017046998322</v>
      </c>
      <c r="AA7" s="28">
        <f t="shared" si="0"/>
        <v>11.063984556416639</v>
      </c>
      <c r="AB7" s="28">
        <f t="shared" si="0"/>
        <v>12.083810503961656</v>
      </c>
      <c r="AC7" s="25"/>
      <c r="AD7" s="17" t="s">
        <v>9</v>
      </c>
      <c r="AE7" s="20">
        <v>1</v>
      </c>
      <c r="AF7" s="20">
        <v>1</v>
      </c>
      <c r="AG7" s="20">
        <v>1</v>
      </c>
      <c r="AH7" s="20">
        <v>1</v>
      </c>
      <c r="AI7" s="20">
        <v>1</v>
      </c>
      <c r="AJ7" s="20">
        <v>1</v>
      </c>
      <c r="AK7" s="20">
        <v>1</v>
      </c>
      <c r="AL7" s="20">
        <v>1</v>
      </c>
      <c r="AM7" s="20">
        <v>1</v>
      </c>
      <c r="AN7" s="20">
        <v>1</v>
      </c>
      <c r="AO7" s="20">
        <v>1</v>
      </c>
      <c r="AP7" s="20">
        <v>1</v>
      </c>
      <c r="AQ7" s="46"/>
      <c r="AR7" s="47"/>
    </row>
    <row r="8" spans="1:44" x14ac:dyDescent="0.2">
      <c r="B8" s="5" t="s">
        <v>10</v>
      </c>
      <c r="C8" s="21">
        <f>C7*AE8</f>
        <v>3123.1199999999994</v>
      </c>
      <c r="D8" s="21">
        <f t="shared" ref="D8:N8" si="1">D7*AF8</f>
        <v>3192.4549338842976</v>
      </c>
      <c r="E8" s="21">
        <f t="shared" si="1"/>
        <v>3284.5685950413222</v>
      </c>
      <c r="F8" s="21">
        <f t="shared" si="1"/>
        <v>3399.4861834710737</v>
      </c>
      <c r="G8" s="21">
        <f t="shared" si="1"/>
        <v>3559.9802578512395</v>
      </c>
      <c r="H8" s="21">
        <f t="shared" si="1"/>
        <v>3754.7230909090904</v>
      </c>
      <c r="I8" s="21">
        <f t="shared" si="1"/>
        <v>3983.7520661157032</v>
      </c>
      <c r="J8" s="21">
        <f t="shared" si="1"/>
        <v>4281.2634049586777</v>
      </c>
      <c r="K8" s="21">
        <f t="shared" si="1"/>
        <v>4658.722274380164</v>
      </c>
      <c r="L8" s="21">
        <f t="shared" si="1"/>
        <v>5121.9128206611576</v>
      </c>
      <c r="M8" s="21">
        <f t="shared" si="1"/>
        <v>5685.7461738842976</v>
      </c>
      <c r="N8" s="21">
        <f t="shared" si="1"/>
        <v>6369.6017699999984</v>
      </c>
      <c r="O8" s="19">
        <f t="shared" ref="O8:O18" si="2">((N8/H8)^(1/7)-1)*100%</f>
        <v>7.8426680641905833E-2</v>
      </c>
      <c r="P8" s="24"/>
      <c r="Q8" s="5" t="s">
        <v>10</v>
      </c>
      <c r="R8" s="30">
        <f t="shared" si="0"/>
        <v>2.2200534684641671</v>
      </c>
      <c r="S8" s="30">
        <f t="shared" si="0"/>
        <v>2.8853550970866504</v>
      </c>
      <c r="T8" s="30">
        <f t="shared" si="0"/>
        <v>3.4987117822182556</v>
      </c>
      <c r="U8" s="30">
        <f t="shared" si="0"/>
        <v>4.7211274209766563</v>
      </c>
      <c r="V8" s="30">
        <f t="shared" si="0"/>
        <v>5.4703346353778715</v>
      </c>
      <c r="W8" s="30">
        <f t="shared" si="0"/>
        <v>6.0997567506678729</v>
      </c>
      <c r="X8" s="30">
        <f t="shared" si="0"/>
        <v>7.4681188463884052</v>
      </c>
      <c r="Y8" s="30">
        <f t="shared" si="0"/>
        <v>8.8165299286258048</v>
      </c>
      <c r="Z8" s="30">
        <f t="shared" si="0"/>
        <v>9.9424374109662992</v>
      </c>
      <c r="AA8" s="30">
        <f t="shared" si="0"/>
        <v>11.008257519509247</v>
      </c>
      <c r="AB8" s="30">
        <f t="shared" si="0"/>
        <v>12.027543530817075</v>
      </c>
      <c r="AC8" s="132">
        <v>0.01</v>
      </c>
      <c r="AD8" s="5" t="s">
        <v>10</v>
      </c>
      <c r="AE8" s="75">
        <v>0.54599999999999993</v>
      </c>
      <c r="AF8" s="75">
        <v>0.54572727272727273</v>
      </c>
      <c r="AG8" s="75">
        <v>0.54545454545454541</v>
      </c>
      <c r="AH8" s="75">
        <v>0.5451818181818181</v>
      </c>
      <c r="AI8" s="75">
        <v>0.5449090909090909</v>
      </c>
      <c r="AJ8" s="75">
        <v>0.54463636363636359</v>
      </c>
      <c r="AK8" s="75">
        <v>0.54436363636363638</v>
      </c>
      <c r="AL8" s="75">
        <v>0.54409090909090907</v>
      </c>
      <c r="AM8" s="75">
        <v>0.54381818181818176</v>
      </c>
      <c r="AN8" s="75">
        <v>0.54354545454545455</v>
      </c>
      <c r="AO8" s="75">
        <v>0.54327272727272724</v>
      </c>
      <c r="AP8" s="75">
        <v>0.54299999999999993</v>
      </c>
      <c r="AQ8" s="46"/>
      <c r="AR8" s="47"/>
    </row>
    <row r="9" spans="1:44" s="160" customFormat="1" x14ac:dyDescent="0.2">
      <c r="B9" s="129" t="s">
        <v>11</v>
      </c>
      <c r="C9" s="104">
        <f>C7*AE9</f>
        <v>1154.2959999999998</v>
      </c>
      <c r="D9" s="104">
        <f t="shared" ref="D9:N9" si="3">D7*AF9</f>
        <v>1177.6930619834711</v>
      </c>
      <c r="E9" s="104">
        <f t="shared" si="3"/>
        <v>1209.3781566942148</v>
      </c>
      <c r="F9" s="104">
        <f t="shared" si="3"/>
        <v>1249.3125895867768</v>
      </c>
      <c r="G9" s="104">
        <f t="shared" si="3"/>
        <v>1305.8012337190082</v>
      </c>
      <c r="H9" s="104">
        <f t="shared" si="3"/>
        <v>1374.6009272727272</v>
      </c>
      <c r="I9" s="104">
        <f t="shared" si="3"/>
        <v>1455.6528925619834</v>
      </c>
      <c r="J9" s="104">
        <f t="shared" si="3"/>
        <v>1561.3556614876034</v>
      </c>
      <c r="K9" s="104">
        <f t="shared" si="3"/>
        <v>1695.7375259504131</v>
      </c>
      <c r="L9" s="104">
        <f t="shared" si="3"/>
        <v>1860.7303625619838</v>
      </c>
      <c r="M9" s="104">
        <f t="shared" si="3"/>
        <v>2061.55870307438</v>
      </c>
      <c r="N9" s="104">
        <f t="shared" si="3"/>
        <v>2305.0216349999996</v>
      </c>
      <c r="O9" s="161">
        <f t="shared" si="2"/>
        <v>7.664169879084648E-2</v>
      </c>
      <c r="P9" s="162"/>
      <c r="Q9" s="129" t="s">
        <v>11</v>
      </c>
      <c r="R9" s="163">
        <f t="shared" si="0"/>
        <v>2.0269551296609567</v>
      </c>
      <c r="S9" s="163">
        <f t="shared" si="0"/>
        <v>2.6904374096744288</v>
      </c>
      <c r="T9" s="163">
        <f t="shared" si="0"/>
        <v>3.3020633514434516</v>
      </c>
      <c r="U9" s="163">
        <f t="shared" si="0"/>
        <v>4.521578074460586</v>
      </c>
      <c r="V9" s="163">
        <f t="shared" si="0"/>
        <v>5.2687722891617161</v>
      </c>
      <c r="W9" s="163">
        <f t="shared" si="0"/>
        <v>5.8963997245416566</v>
      </c>
      <c r="X9" s="163">
        <f t="shared" si="0"/>
        <v>7.2615366936537029</v>
      </c>
      <c r="Y9" s="163">
        <f t="shared" si="0"/>
        <v>8.6067427029902674</v>
      </c>
      <c r="Z9" s="163">
        <f t="shared" si="0"/>
        <v>9.7298570142273064</v>
      </c>
      <c r="AA9" s="163">
        <f t="shared" si="0"/>
        <v>10.792984548061103</v>
      </c>
      <c r="AB9" s="163">
        <f t="shared" si="0"/>
        <v>11.809653131028774</v>
      </c>
      <c r="AC9" s="135">
        <v>0.01</v>
      </c>
      <c r="AD9" s="129" t="s">
        <v>11</v>
      </c>
      <c r="AE9" s="164">
        <v>0.20179999999999998</v>
      </c>
      <c r="AF9" s="164">
        <v>0.20131818181818181</v>
      </c>
      <c r="AG9" s="164">
        <v>0.20083636363636362</v>
      </c>
      <c r="AH9" s="164">
        <v>0.20035454545454545</v>
      </c>
      <c r="AI9" s="164">
        <v>0.19987272727272726</v>
      </c>
      <c r="AJ9" s="164">
        <v>0.19939090909090909</v>
      </c>
      <c r="AK9" s="164">
        <v>0.1989090909090909</v>
      </c>
      <c r="AL9" s="164">
        <v>0.19842727272727273</v>
      </c>
      <c r="AM9" s="164">
        <v>0.19794545454545454</v>
      </c>
      <c r="AN9" s="164">
        <v>0.19746363636363637</v>
      </c>
      <c r="AO9" s="164">
        <v>0.19698181818181817</v>
      </c>
      <c r="AP9" s="164">
        <v>0.19649999999999998</v>
      </c>
      <c r="AQ9" s="165"/>
      <c r="AR9" s="165"/>
    </row>
    <row r="10" spans="1:44" s="78" customFormat="1" x14ac:dyDescent="0.2">
      <c r="B10" s="91" t="s">
        <v>12</v>
      </c>
      <c r="C10" s="79">
        <f>C7*AE10</f>
        <v>700.12799999999993</v>
      </c>
      <c r="D10" s="79">
        <f t="shared" ref="D10:N10" si="4">D7*AF10</f>
        <v>716.56068264462817</v>
      </c>
      <c r="E10" s="79">
        <f t="shared" si="4"/>
        <v>738.15204892561985</v>
      </c>
      <c r="F10" s="79">
        <f t="shared" si="4"/>
        <v>764.92690611570242</v>
      </c>
      <c r="G10" s="79">
        <f t="shared" si="4"/>
        <v>802.03492495867772</v>
      </c>
      <c r="H10" s="79">
        <f t="shared" si="4"/>
        <v>846.95923636363636</v>
      </c>
      <c r="I10" s="79">
        <f t="shared" si="4"/>
        <v>899.73719008264482</v>
      </c>
      <c r="J10" s="79">
        <f t="shared" si="4"/>
        <v>968.13064198347115</v>
      </c>
      <c r="K10" s="79">
        <f t="shared" si="4"/>
        <v>1054.7932879338841</v>
      </c>
      <c r="L10" s="79">
        <f t="shared" si="4"/>
        <v>1161.1039700826448</v>
      </c>
      <c r="M10" s="79">
        <f t="shared" si="4"/>
        <v>1290.5197640991737</v>
      </c>
      <c r="N10" s="79">
        <f t="shared" si="4"/>
        <v>1447.5301259999999</v>
      </c>
      <c r="O10" s="105">
        <f t="shared" si="2"/>
        <v>7.9573355819211766E-2</v>
      </c>
      <c r="P10" s="80"/>
      <c r="Q10" s="91" t="s">
        <v>12</v>
      </c>
      <c r="R10" s="81">
        <f t="shared" si="0"/>
        <v>2.347096908655022</v>
      </c>
      <c r="S10" s="81">
        <f t="shared" ref="S10:S18" si="5">(E10/D10-1)*100</f>
        <v>3.0131943886879009</v>
      </c>
      <c r="T10" s="81">
        <f t="shared" ref="T10:T18" si="6">(F10/E10-1)*100</f>
        <v>3.62728210658676</v>
      </c>
      <c r="U10" s="81">
        <f t="shared" ref="U10:U18" si="7">(G10/F10-1)*100</f>
        <v>4.8511849362718573</v>
      </c>
      <c r="V10" s="81">
        <f t="shared" ref="V10:V18" si="8">(H10/G10-1)*100</f>
        <v>5.6012911666250886</v>
      </c>
      <c r="W10" s="81">
        <f t="shared" ref="W10:W18" si="9">(I10/H10-1)*100</f>
        <v>6.2314632691895744</v>
      </c>
      <c r="X10" s="81">
        <f t="shared" ref="X10:X18" si="10">(J10/I10-1)*100</f>
        <v>7.6014921528967827</v>
      </c>
      <c r="Y10" s="81">
        <f t="shared" ref="Y10:Y18" si="11">(K10/J10-1)*100</f>
        <v>8.9515445738667765</v>
      </c>
      <c r="Z10" s="81">
        <f t="shared" ref="Z10:Z18" si="12">(L10/K10-1)*100</f>
        <v>10.07881670891182</v>
      </c>
      <c r="AA10" s="81">
        <f t="shared" ref="AA10:AA18" si="13">(M10/L10-1)*100</f>
        <v>11.145926407203422</v>
      </c>
      <c r="AB10" s="81">
        <f t="shared" ref="AB10:AB18" si="14">(N10/M10-1)*100</f>
        <v>12.166443805719208</v>
      </c>
      <c r="AC10" s="112">
        <v>0.03</v>
      </c>
      <c r="AD10" s="91" t="s">
        <v>12</v>
      </c>
      <c r="AE10" s="82">
        <v>0.12239999999999999</v>
      </c>
      <c r="AF10" s="82">
        <v>0.12249090909090909</v>
      </c>
      <c r="AG10" s="82">
        <v>0.12258181818181818</v>
      </c>
      <c r="AH10" s="82">
        <v>0.12267272727272727</v>
      </c>
      <c r="AI10" s="82">
        <v>0.12276363636363637</v>
      </c>
      <c r="AJ10" s="82">
        <v>0.12285454545454545</v>
      </c>
      <c r="AK10" s="82">
        <v>0.12294545454545455</v>
      </c>
      <c r="AL10" s="82">
        <v>0.12303636363636364</v>
      </c>
      <c r="AM10" s="82">
        <v>0.12312727272727272</v>
      </c>
      <c r="AN10" s="82">
        <v>0.12321818181818182</v>
      </c>
      <c r="AO10" s="82">
        <v>0.12330909090909091</v>
      </c>
      <c r="AP10" s="82">
        <v>0.1234</v>
      </c>
      <c r="AQ10" s="83"/>
      <c r="AR10" s="83"/>
    </row>
    <row r="11" spans="1:44" s="78" customFormat="1" x14ac:dyDescent="0.2">
      <c r="B11" s="90" t="s">
        <v>14</v>
      </c>
      <c r="C11" s="79">
        <f t="shared" ref="C11:N11" si="15">C7*AE11</f>
        <v>736.73599999999999</v>
      </c>
      <c r="D11" s="79">
        <f t="shared" si="15"/>
        <v>753.89373884297504</v>
      </c>
      <c r="E11" s="79">
        <f t="shared" si="15"/>
        <v>776.4720158677685</v>
      </c>
      <c r="F11" s="79">
        <f t="shared" si="15"/>
        <v>804.49404561983465</v>
      </c>
      <c r="G11" s="79">
        <f t="shared" si="15"/>
        <v>843.37203305785124</v>
      </c>
      <c r="H11" s="79">
        <f t="shared" si="15"/>
        <v>890.4541090909089</v>
      </c>
      <c r="I11" s="79">
        <f t="shared" si="15"/>
        <v>945.77520661157018</v>
      </c>
      <c r="J11" s="79">
        <f t="shared" si="15"/>
        <v>1017.4885659504132</v>
      </c>
      <c r="K11" s="79">
        <f t="shared" si="15"/>
        <v>1108.3740456198345</v>
      </c>
      <c r="L11" s="79">
        <f t="shared" si="15"/>
        <v>1219.870188429752</v>
      </c>
      <c r="M11" s="79">
        <f t="shared" si="15"/>
        <v>1355.5975817520659</v>
      </c>
      <c r="N11" s="79">
        <f t="shared" si="15"/>
        <v>1520.2585439999998</v>
      </c>
      <c r="O11" s="105">
        <f t="shared" si="2"/>
        <v>7.9410301867686828E-2</v>
      </c>
      <c r="P11" s="80"/>
      <c r="Q11" s="90" t="s">
        <v>14</v>
      </c>
      <c r="R11" s="81">
        <f t="shared" si="0"/>
        <v>2.328885631077493</v>
      </c>
      <c r="S11" s="81">
        <f t="shared" si="5"/>
        <v>2.9948885183003426</v>
      </c>
      <c r="T11" s="81">
        <f t="shared" si="6"/>
        <v>3.6088911357287312</v>
      </c>
      <c r="U11" s="81">
        <f t="shared" si="7"/>
        <v>4.83260101795564</v>
      </c>
      <c r="V11" s="81">
        <f t="shared" si="8"/>
        <v>5.5825986857010346</v>
      </c>
      <c r="W11" s="81">
        <f t="shared" si="9"/>
        <v>6.212683725738577</v>
      </c>
      <c r="X11" s="81">
        <f t="shared" si="10"/>
        <v>7.5824951677228469</v>
      </c>
      <c r="Y11" s="81">
        <f t="shared" si="11"/>
        <v>8.9323342503143657</v>
      </c>
      <c r="Z11" s="81">
        <f t="shared" si="12"/>
        <v>10.05943284674855</v>
      </c>
      <c r="AA11" s="81">
        <f t="shared" si="13"/>
        <v>11.126380053358442</v>
      </c>
      <c r="AB11" s="81">
        <f t="shared" si="14"/>
        <v>12.146743581167719</v>
      </c>
      <c r="AC11" s="112">
        <v>0.02</v>
      </c>
      <c r="AD11" s="90" t="s">
        <v>14</v>
      </c>
      <c r="AE11" s="82">
        <v>0.1288</v>
      </c>
      <c r="AF11" s="82">
        <v>0.12887272727272725</v>
      </c>
      <c r="AG11" s="82">
        <v>0.12894545454545453</v>
      </c>
      <c r="AH11" s="82">
        <v>0.12901818181818181</v>
      </c>
      <c r="AI11" s="82">
        <v>0.12909090909090909</v>
      </c>
      <c r="AJ11" s="82">
        <v>0.12916363636363634</v>
      </c>
      <c r="AK11" s="82">
        <v>0.12923636363636362</v>
      </c>
      <c r="AL11" s="82">
        <v>0.1293090909090909</v>
      </c>
      <c r="AM11" s="82">
        <v>0.12938181818181818</v>
      </c>
      <c r="AN11" s="82">
        <v>0.12945454545454543</v>
      </c>
      <c r="AO11" s="82">
        <v>0.12952727272727271</v>
      </c>
      <c r="AP11" s="82">
        <v>0.12959999999999999</v>
      </c>
      <c r="AQ11" s="83"/>
      <c r="AR11" s="83"/>
    </row>
    <row r="12" spans="1:44" s="78" customFormat="1" x14ac:dyDescent="0.2">
      <c r="B12" s="91" t="s">
        <v>13</v>
      </c>
      <c r="C12" s="79">
        <f t="shared" ref="C12:N12" si="16">C7*AE12</f>
        <v>531.96</v>
      </c>
      <c r="D12" s="79">
        <f t="shared" si="16"/>
        <v>544.30745041322314</v>
      </c>
      <c r="E12" s="79">
        <f t="shared" si="16"/>
        <v>560.56637355371913</v>
      </c>
      <c r="F12" s="79">
        <f t="shared" si="16"/>
        <v>580.75264214876029</v>
      </c>
      <c r="G12" s="79">
        <f t="shared" si="16"/>
        <v>608.7720661157025</v>
      </c>
      <c r="H12" s="79">
        <f t="shared" si="16"/>
        <v>642.70881818181817</v>
      </c>
      <c r="I12" s="79">
        <f t="shared" si="16"/>
        <v>682.5867768595042</v>
      </c>
      <c r="J12" s="79">
        <f t="shared" si="16"/>
        <v>734.28853553719011</v>
      </c>
      <c r="K12" s="79">
        <f t="shared" si="16"/>
        <v>799.81741487603301</v>
      </c>
      <c r="L12" s="79">
        <f t="shared" si="16"/>
        <v>880.208299586777</v>
      </c>
      <c r="M12" s="79">
        <f t="shared" si="16"/>
        <v>978.07012495867775</v>
      </c>
      <c r="N12" s="79">
        <f t="shared" si="16"/>
        <v>1096.791465</v>
      </c>
      <c r="O12" s="105">
        <f t="shared" si="2"/>
        <v>7.9340673992043254E-2</v>
      </c>
      <c r="P12" s="80"/>
      <c r="Q12" s="91" t="s">
        <v>13</v>
      </c>
      <c r="R12" s="81">
        <f t="shared" si="0"/>
        <v>2.3211238463837658</v>
      </c>
      <c r="S12" s="81">
        <f t="shared" si="5"/>
        <v>2.987084436957943</v>
      </c>
      <c r="T12" s="81">
        <f t="shared" si="6"/>
        <v>3.601048786974137</v>
      </c>
      <c r="U12" s="81">
        <f t="shared" si="7"/>
        <v>4.8246743851687812</v>
      </c>
      <c r="V12" s="81">
        <f t="shared" si="8"/>
        <v>5.574623731120032</v>
      </c>
      <c r="W12" s="81">
        <f t="shared" si="9"/>
        <v>6.2046696030246151</v>
      </c>
      <c r="X12" s="81">
        <f t="shared" si="10"/>
        <v>7.5743862070635437</v>
      </c>
      <c r="Y12" s="81">
        <f t="shared" si="11"/>
        <v>8.9241321588799281</v>
      </c>
      <c r="Z12" s="81">
        <f t="shared" si="12"/>
        <v>10.051154577973787</v>
      </c>
      <c r="AA12" s="81">
        <f t="shared" si="13"/>
        <v>11.118030290993964</v>
      </c>
      <c r="AB12" s="81">
        <f t="shared" si="14"/>
        <v>12.138325975996667</v>
      </c>
      <c r="AC12" s="112">
        <v>0.04</v>
      </c>
      <c r="AD12" s="91" t="s">
        <v>13</v>
      </c>
      <c r="AE12" s="82">
        <v>9.2999999999999999E-2</v>
      </c>
      <c r="AF12" s="82">
        <v>9.3045454545454542E-2</v>
      </c>
      <c r="AG12" s="82">
        <v>9.3090909090909099E-2</v>
      </c>
      <c r="AH12" s="82">
        <v>9.3136363636363642E-2</v>
      </c>
      <c r="AI12" s="82">
        <v>9.3181818181818185E-2</v>
      </c>
      <c r="AJ12" s="82">
        <v>9.3227272727272728E-2</v>
      </c>
      <c r="AK12" s="82">
        <v>9.3272727272727271E-2</v>
      </c>
      <c r="AL12" s="82">
        <v>9.3318181818181814E-2</v>
      </c>
      <c r="AM12" s="82">
        <v>9.3363636363636371E-2</v>
      </c>
      <c r="AN12" s="82">
        <v>9.3409090909090914E-2</v>
      </c>
      <c r="AO12" s="82">
        <v>9.3454545454545457E-2</v>
      </c>
      <c r="AP12" s="82">
        <v>9.35E-2</v>
      </c>
      <c r="AQ12" s="83"/>
      <c r="AR12" s="83"/>
    </row>
    <row r="13" spans="1:44" x14ac:dyDescent="0.2">
      <c r="B13" s="5" t="s">
        <v>15</v>
      </c>
      <c r="C13" s="21">
        <f t="shared" ref="C13:N13" si="17">C7*AE13</f>
        <v>2596.88</v>
      </c>
      <c r="D13" s="21">
        <f t="shared" si="17"/>
        <v>2657.4541570247939</v>
      </c>
      <c r="E13" s="21">
        <f t="shared" si="17"/>
        <v>2737.140495867769</v>
      </c>
      <c r="F13" s="21">
        <f t="shared" si="17"/>
        <v>2836.0229074380163</v>
      </c>
      <c r="G13" s="21">
        <f t="shared" si="17"/>
        <v>2973.1833785123968</v>
      </c>
      <c r="H13" s="21">
        <f t="shared" si="17"/>
        <v>3139.2769090909096</v>
      </c>
      <c r="I13" s="21">
        <f t="shared" si="17"/>
        <v>3334.4297520661162</v>
      </c>
      <c r="J13" s="21">
        <f t="shared" si="17"/>
        <v>3587.3911404958681</v>
      </c>
      <c r="K13" s="21">
        <f t="shared" si="17"/>
        <v>3907.9686347107436</v>
      </c>
      <c r="L13" s="21">
        <f t="shared" si="17"/>
        <v>4301.241724793389</v>
      </c>
      <c r="M13" s="21">
        <f t="shared" si="17"/>
        <v>4779.9847352066117</v>
      </c>
      <c r="N13" s="21">
        <f t="shared" si="17"/>
        <v>5360.7882300000001</v>
      </c>
      <c r="O13" s="19">
        <f t="shared" si="2"/>
        <v>7.9443364072606437E-2</v>
      </c>
      <c r="P13" s="24"/>
      <c r="Q13" s="5" t="s">
        <v>15</v>
      </c>
      <c r="R13" s="30">
        <f t="shared" si="0"/>
        <v>2.3325743594156734</v>
      </c>
      <c r="S13" s="30">
        <f t="shared" si="5"/>
        <v>2.9985969327948725</v>
      </c>
      <c r="T13" s="30">
        <f t="shared" si="6"/>
        <v>3.6126173179465537</v>
      </c>
      <c r="U13" s="30">
        <f t="shared" si="7"/>
        <v>4.8363668260454018</v>
      </c>
      <c r="V13" s="30">
        <f t="shared" si="8"/>
        <v>5.5863870280889349</v>
      </c>
      <c r="W13" s="30">
        <f t="shared" si="9"/>
        <v>6.2164902500340569</v>
      </c>
      <c r="X13" s="30">
        <f t="shared" si="10"/>
        <v>7.5863463092305183</v>
      </c>
      <c r="Y13" s="30">
        <f t="shared" si="11"/>
        <v>8.9362291888406489</v>
      </c>
      <c r="Z13" s="30">
        <f t="shared" si="12"/>
        <v>10.06336352317614</v>
      </c>
      <c r="AA13" s="30">
        <f t="shared" si="13"/>
        <v>11.13034423649415</v>
      </c>
      <c r="AB13" s="30">
        <f t="shared" si="14"/>
        <v>12.150739530934572</v>
      </c>
      <c r="AC13" s="24">
        <v>0.02</v>
      </c>
      <c r="AD13" s="5" t="s">
        <v>15</v>
      </c>
      <c r="AE13" s="158">
        <v>0.45400000000000001</v>
      </c>
      <c r="AF13" s="158">
        <v>0.45427272727272733</v>
      </c>
      <c r="AG13" s="158">
        <v>0.45454545454545459</v>
      </c>
      <c r="AH13" s="158">
        <v>0.45481818181818184</v>
      </c>
      <c r="AI13" s="158">
        <v>0.4550909090909091</v>
      </c>
      <c r="AJ13" s="158">
        <v>0.45536363636363641</v>
      </c>
      <c r="AK13" s="158">
        <v>0.45563636363636367</v>
      </c>
      <c r="AL13" s="158">
        <v>0.45590909090909093</v>
      </c>
      <c r="AM13" s="158">
        <v>0.45618181818181819</v>
      </c>
      <c r="AN13" s="158">
        <v>0.4564545454545455</v>
      </c>
      <c r="AO13" s="158">
        <v>0.45672727272727276</v>
      </c>
      <c r="AP13" s="158">
        <v>0.45700000000000002</v>
      </c>
      <c r="AQ13" s="26"/>
      <c r="AR13" s="26"/>
    </row>
    <row r="14" spans="1:44" s="78" customFormat="1" x14ac:dyDescent="0.2">
      <c r="B14" s="91" t="s">
        <v>16</v>
      </c>
      <c r="C14" s="79">
        <f t="shared" ref="C14:N14" si="18">C7*AE14</f>
        <v>629.20000000000005</v>
      </c>
      <c r="D14" s="79">
        <f t="shared" si="18"/>
        <v>644.60680082644626</v>
      </c>
      <c r="E14" s="79">
        <f t="shared" si="18"/>
        <v>664.68719801652901</v>
      </c>
      <c r="F14" s="79">
        <f t="shared" si="18"/>
        <v>689.47724611570243</v>
      </c>
      <c r="G14" s="79">
        <f t="shared" si="18"/>
        <v>723.63696132231405</v>
      </c>
      <c r="H14" s="79">
        <f t="shared" si="18"/>
        <v>764.92063636363639</v>
      </c>
      <c r="I14" s="79">
        <f t="shared" si="18"/>
        <v>813.38264462809923</v>
      </c>
      <c r="J14" s="79">
        <f t="shared" si="18"/>
        <v>876.06738380165291</v>
      </c>
      <c r="K14" s="79">
        <f t="shared" si="18"/>
        <v>955.41967338842983</v>
      </c>
      <c r="L14" s="79">
        <f t="shared" si="18"/>
        <v>1052.7376928099177</v>
      </c>
      <c r="M14" s="79">
        <f t="shared" si="18"/>
        <v>1171.2104317355372</v>
      </c>
      <c r="N14" s="79">
        <f t="shared" si="18"/>
        <v>1314.976719</v>
      </c>
      <c r="O14" s="105">
        <f t="shared" si="2"/>
        <v>8.0474512291911493E-2</v>
      </c>
      <c r="P14" s="80"/>
      <c r="Q14" s="91" t="s">
        <v>16</v>
      </c>
      <c r="R14" s="81">
        <f t="shared" si="0"/>
        <v>2.4486333163455498</v>
      </c>
      <c r="S14" s="81">
        <f t="shared" si="5"/>
        <v>3.1151388977494143</v>
      </c>
      <c r="T14" s="81">
        <f t="shared" si="6"/>
        <v>3.7295810981689659</v>
      </c>
      <c r="U14" s="81">
        <f t="shared" si="7"/>
        <v>4.9544369156570012</v>
      </c>
      <c r="V14" s="81">
        <f t="shared" si="8"/>
        <v>5.705025758480331</v>
      </c>
      <c r="W14" s="81">
        <f t="shared" si="9"/>
        <v>6.3355603131387328</v>
      </c>
      <c r="X14" s="81">
        <f t="shared" si="10"/>
        <v>7.7066728172218157</v>
      </c>
      <c r="Y14" s="81">
        <f t="shared" si="11"/>
        <v>9.0577838022494852</v>
      </c>
      <c r="Z14" s="81">
        <f t="shared" si="12"/>
        <v>10.185892349939385</v>
      </c>
      <c r="AA14" s="81">
        <f t="shared" si="13"/>
        <v>11.253775725403891</v>
      </c>
      <c r="AB14" s="81">
        <f t="shared" si="14"/>
        <v>12.275017654293375</v>
      </c>
      <c r="AC14" s="112">
        <v>0.02</v>
      </c>
      <c r="AD14" s="91" t="s">
        <v>16</v>
      </c>
      <c r="AE14" s="85">
        <v>0.11</v>
      </c>
      <c r="AF14" s="85">
        <v>0.11019090909090909</v>
      </c>
      <c r="AG14" s="85">
        <v>0.11038181818181819</v>
      </c>
      <c r="AH14" s="85">
        <v>0.11057272727272728</v>
      </c>
      <c r="AI14" s="85">
        <v>0.11076363636363637</v>
      </c>
      <c r="AJ14" s="85">
        <v>0.11095454545454546</v>
      </c>
      <c r="AK14" s="85">
        <v>0.11114545454545455</v>
      </c>
      <c r="AL14" s="85">
        <v>0.11133636363636364</v>
      </c>
      <c r="AM14" s="85">
        <v>0.11152727272727274</v>
      </c>
      <c r="AN14" s="85">
        <v>0.11171818181818183</v>
      </c>
      <c r="AO14" s="85">
        <v>0.11190909090909092</v>
      </c>
      <c r="AP14" s="85">
        <v>0.11210000000000001</v>
      </c>
      <c r="AQ14" s="83"/>
      <c r="AR14" s="83"/>
    </row>
    <row r="15" spans="1:44" s="78" customFormat="1" x14ac:dyDescent="0.2">
      <c r="B15" s="91" t="s">
        <v>17</v>
      </c>
      <c r="C15" s="79">
        <f t="shared" ref="C15:N15" si="19">C7*AE15</f>
        <v>572</v>
      </c>
      <c r="D15" s="79">
        <f t="shared" si="19"/>
        <v>585.25681404958675</v>
      </c>
      <c r="E15" s="79">
        <f t="shared" si="19"/>
        <v>602.71833719008271</v>
      </c>
      <c r="F15" s="79">
        <f t="shared" si="19"/>
        <v>624.40120578512403</v>
      </c>
      <c r="G15" s="79">
        <f t="shared" si="19"/>
        <v>654.504211570248</v>
      </c>
      <c r="H15" s="79">
        <f t="shared" si="19"/>
        <v>690.96681818181821</v>
      </c>
      <c r="I15" s="79">
        <f t="shared" si="19"/>
        <v>733.81404958677695</v>
      </c>
      <c r="J15" s="79">
        <f t="shared" si="19"/>
        <v>789.36911735537194</v>
      </c>
      <c r="K15" s="79">
        <f t="shared" si="19"/>
        <v>859.78425123966952</v>
      </c>
      <c r="L15" s="79">
        <f t="shared" si="19"/>
        <v>946.1703814049589</v>
      </c>
      <c r="M15" s="79">
        <f t="shared" si="19"/>
        <v>1051.3302413223141</v>
      </c>
      <c r="N15" s="79">
        <f t="shared" si="19"/>
        <v>1178.9041950000001</v>
      </c>
      <c r="O15" s="105">
        <f t="shared" si="2"/>
        <v>7.9309259683175704E-2</v>
      </c>
      <c r="P15" s="80"/>
      <c r="Q15" s="91" t="s">
        <v>17</v>
      </c>
      <c r="R15" s="81">
        <f t="shared" si="0"/>
        <v>2.3176248338438343</v>
      </c>
      <c r="S15" s="81">
        <f t="shared" si="5"/>
        <v>2.9835659698985495</v>
      </c>
      <c r="T15" s="81">
        <f t="shared" si="6"/>
        <v>3.5975126783313938</v>
      </c>
      <c r="U15" s="81">
        <f t="shared" si="7"/>
        <v>4.8210998803681626</v>
      </c>
      <c r="V15" s="81">
        <f t="shared" si="8"/>
        <v>5.5710270410775919</v>
      </c>
      <c r="W15" s="81">
        <f t="shared" si="9"/>
        <v>6.2010548520557318</v>
      </c>
      <c r="X15" s="81">
        <f t="shared" si="10"/>
        <v>7.5707282791708685</v>
      </c>
      <c r="Y15" s="81">
        <f t="shared" si="11"/>
        <v>8.9204318152463102</v>
      </c>
      <c r="Z15" s="81">
        <f t="shared" si="12"/>
        <v>10.047419459095064</v>
      </c>
      <c r="AA15" s="81">
        <f t="shared" si="13"/>
        <v>11.114262503250671</v>
      </c>
      <c r="AB15" s="81">
        <f t="shared" si="14"/>
        <v>12.134527160298303</v>
      </c>
      <c r="AC15" s="112">
        <v>0.03</v>
      </c>
      <c r="AD15" s="91" t="s">
        <v>17</v>
      </c>
      <c r="AE15" s="82">
        <v>0.1</v>
      </c>
      <c r="AF15" s="82">
        <v>0.10004545454545455</v>
      </c>
      <c r="AG15" s="82">
        <v>0.10009090909090911</v>
      </c>
      <c r="AH15" s="82">
        <v>0.10013636363636365</v>
      </c>
      <c r="AI15" s="82">
        <v>0.10018181818181819</v>
      </c>
      <c r="AJ15" s="82">
        <v>0.10022727272727273</v>
      </c>
      <c r="AK15" s="82">
        <v>0.10027272727272728</v>
      </c>
      <c r="AL15" s="82">
        <v>0.10031818181818182</v>
      </c>
      <c r="AM15" s="82">
        <v>0.10036363636363638</v>
      </c>
      <c r="AN15" s="82">
        <v>0.10040909090909092</v>
      </c>
      <c r="AO15" s="82">
        <v>0.10045454545454546</v>
      </c>
      <c r="AP15" s="82">
        <v>0.10050000000000001</v>
      </c>
      <c r="AQ15" s="83"/>
      <c r="AR15" s="83"/>
    </row>
    <row r="16" spans="1:44" s="78" customFormat="1" x14ac:dyDescent="0.2">
      <c r="B16" s="91" t="s">
        <v>18</v>
      </c>
      <c r="C16" s="79">
        <f t="shared" ref="C16:N16" si="20">C7*AE16</f>
        <v>657.80000000000007</v>
      </c>
      <c r="D16" s="79">
        <f t="shared" si="20"/>
        <v>671.67592561983486</v>
      </c>
      <c r="E16" s="79">
        <f t="shared" si="20"/>
        <v>690.30683305785135</v>
      </c>
      <c r="F16" s="79">
        <f t="shared" si="20"/>
        <v>713.6823586776859</v>
      </c>
      <c r="G16" s="79">
        <f t="shared" si="20"/>
        <v>746.56242644628105</v>
      </c>
      <c r="H16" s="79">
        <f t="shared" si="20"/>
        <v>786.54272727272735</v>
      </c>
      <c r="I16" s="79">
        <f t="shared" si="20"/>
        <v>833.60743801652904</v>
      </c>
      <c r="J16" s="79">
        <f t="shared" si="20"/>
        <v>894.88062148760343</v>
      </c>
      <c r="K16" s="79">
        <f t="shared" si="20"/>
        <v>972.7088132231404</v>
      </c>
      <c r="L16" s="79">
        <f t="shared" si="20"/>
        <v>1068.2430652892565</v>
      </c>
      <c r="M16" s="79">
        <f t="shared" si="20"/>
        <v>1184.5304528925622</v>
      </c>
      <c r="N16" s="79">
        <f t="shared" si="20"/>
        <v>1325.5340699999999</v>
      </c>
      <c r="O16" s="105">
        <f t="shared" si="2"/>
        <v>7.741055290680432E-2</v>
      </c>
      <c r="P16" s="80"/>
      <c r="Q16" s="91" t="s">
        <v>18</v>
      </c>
      <c r="R16" s="81">
        <f t="shared" si="0"/>
        <v>2.1094444542163027</v>
      </c>
      <c r="S16" s="81">
        <f t="shared" si="5"/>
        <v>2.7737941360371998</v>
      </c>
      <c r="T16" s="81">
        <f t="shared" si="6"/>
        <v>3.3862515189496234</v>
      </c>
      <c r="U16" s="81">
        <f t="shared" si="7"/>
        <v>4.6071010959995551</v>
      </c>
      <c r="V16" s="81">
        <f t="shared" si="8"/>
        <v>5.3552522080111853</v>
      </c>
      <c r="W16" s="81">
        <f t="shared" si="9"/>
        <v>5.9837449526734199</v>
      </c>
      <c r="X16" s="81">
        <f t="shared" si="10"/>
        <v>7.3503642933977043</v>
      </c>
      <c r="Y16" s="81">
        <f t="shared" si="11"/>
        <v>8.6970473900931378</v>
      </c>
      <c r="Z16" s="81">
        <f t="shared" si="12"/>
        <v>9.821464632314413</v>
      </c>
      <c r="AA16" s="81">
        <f t="shared" si="13"/>
        <v>10.88585466939751</v>
      </c>
      <c r="AB16" s="81">
        <f t="shared" si="14"/>
        <v>11.903756189899074</v>
      </c>
      <c r="AC16" s="135">
        <v>0.01</v>
      </c>
      <c r="AD16" s="91" t="s">
        <v>18</v>
      </c>
      <c r="AE16" s="159">
        <v>0.115</v>
      </c>
      <c r="AF16" s="159">
        <v>0.11481818181818183</v>
      </c>
      <c r="AG16" s="159">
        <v>0.11463636363636365</v>
      </c>
      <c r="AH16" s="159">
        <v>0.11445454545454546</v>
      </c>
      <c r="AI16" s="159">
        <v>0.11427272727272728</v>
      </c>
      <c r="AJ16" s="159">
        <v>0.1140909090909091</v>
      </c>
      <c r="AK16" s="159">
        <v>0.11390909090909092</v>
      </c>
      <c r="AL16" s="159">
        <v>0.11372727272727273</v>
      </c>
      <c r="AM16" s="159">
        <v>0.11354545454545455</v>
      </c>
      <c r="AN16" s="159">
        <v>0.11336363636363637</v>
      </c>
      <c r="AO16" s="159">
        <v>0.11318181818181819</v>
      </c>
      <c r="AP16" s="159">
        <v>0.113</v>
      </c>
      <c r="AQ16" s="83"/>
      <c r="AR16" s="83"/>
    </row>
    <row r="17" spans="2:44" s="78" customFormat="1" x14ac:dyDescent="0.2">
      <c r="B17" s="91" t="s">
        <v>19</v>
      </c>
      <c r="C17" s="79">
        <f t="shared" ref="C17:N17" si="21">C7*AE17</f>
        <v>423.27999999999992</v>
      </c>
      <c r="D17" s="79">
        <f t="shared" si="21"/>
        <v>433.63780661157017</v>
      </c>
      <c r="E17" s="79">
        <f t="shared" si="21"/>
        <v>447.13927140495855</v>
      </c>
      <c r="F17" s="79">
        <f t="shared" si="21"/>
        <v>463.80850347107423</v>
      </c>
      <c r="G17" s="79">
        <f t="shared" si="21"/>
        <v>486.78008330578496</v>
      </c>
      <c r="H17" s="79">
        <f t="shared" si="21"/>
        <v>514.54309090909078</v>
      </c>
      <c r="I17" s="79">
        <f t="shared" si="21"/>
        <v>547.13388429752058</v>
      </c>
      <c r="J17" s="79">
        <f t="shared" si="21"/>
        <v>589.29069223140493</v>
      </c>
      <c r="K17" s="79">
        <f t="shared" si="21"/>
        <v>642.65757619834699</v>
      </c>
      <c r="L17" s="79">
        <f t="shared" si="21"/>
        <v>708.1072315702479</v>
      </c>
      <c r="M17" s="79">
        <f t="shared" si="21"/>
        <v>787.78410842975188</v>
      </c>
      <c r="N17" s="79">
        <f t="shared" si="21"/>
        <v>884.47140599999977</v>
      </c>
      <c r="O17" s="105">
        <f t="shared" si="2"/>
        <v>8.0460423816725246E-2</v>
      </c>
      <c r="P17" s="80"/>
      <c r="Q17" s="91" t="s">
        <v>19</v>
      </c>
      <c r="R17" s="81">
        <f t="shared" si="0"/>
        <v>2.447034259017733</v>
      </c>
      <c r="S17" s="81">
        <f t="shared" si="5"/>
        <v>3.1135349795462508</v>
      </c>
      <c r="T17" s="81">
        <f t="shared" si="6"/>
        <v>3.7279731690171625</v>
      </c>
      <c r="U17" s="81">
        <f t="shared" si="7"/>
        <v>4.9528155828957088</v>
      </c>
      <c r="V17" s="81">
        <f t="shared" si="8"/>
        <v>5.7033984247596425</v>
      </c>
      <c r="W17" s="81">
        <f t="shared" si="9"/>
        <v>6.333928870922878</v>
      </c>
      <c r="X17" s="81">
        <f t="shared" si="10"/>
        <v>7.7050259806172638</v>
      </c>
      <c r="Y17" s="81">
        <f t="shared" si="11"/>
        <v>9.0561219904667709</v>
      </c>
      <c r="Z17" s="81">
        <f t="shared" si="12"/>
        <v>10.184219060960832</v>
      </c>
      <c r="AA17" s="81">
        <f t="shared" si="13"/>
        <v>11.252091958278454</v>
      </c>
      <c r="AB17" s="81">
        <f t="shared" si="14"/>
        <v>12.273324193219581</v>
      </c>
      <c r="AC17" s="112">
        <v>0.04</v>
      </c>
      <c r="AD17" s="91" t="s">
        <v>19</v>
      </c>
      <c r="AE17" s="82">
        <v>7.3999999999999982E-2</v>
      </c>
      <c r="AF17" s="82">
        <v>7.4127272727272708E-2</v>
      </c>
      <c r="AG17" s="82">
        <v>7.4254545454545434E-2</v>
      </c>
      <c r="AH17" s="82">
        <v>7.438181818181816E-2</v>
      </c>
      <c r="AI17" s="82">
        <v>7.4509090909090886E-2</v>
      </c>
      <c r="AJ17" s="82">
        <v>7.4636363636363626E-2</v>
      </c>
      <c r="AK17" s="82">
        <v>7.4763636363636352E-2</v>
      </c>
      <c r="AL17" s="82">
        <v>7.4890909090909077E-2</v>
      </c>
      <c r="AM17" s="82">
        <v>7.5018181818181803E-2</v>
      </c>
      <c r="AN17" s="82">
        <v>7.5145454545454529E-2</v>
      </c>
      <c r="AO17" s="82">
        <v>7.5272727272727255E-2</v>
      </c>
      <c r="AP17" s="82">
        <v>7.5399999999999981E-2</v>
      </c>
      <c r="AQ17" s="83"/>
      <c r="AR17" s="83"/>
    </row>
    <row r="18" spans="2:44" s="78" customFormat="1" x14ac:dyDescent="0.2">
      <c r="B18" s="91" t="s">
        <v>8</v>
      </c>
      <c r="C18" s="79">
        <f t="shared" ref="C18:N18" si="22">C7*AE18</f>
        <v>314.60000000000002</v>
      </c>
      <c r="D18" s="79">
        <f t="shared" si="22"/>
        <v>322.27680991735537</v>
      </c>
      <c r="E18" s="79">
        <f t="shared" si="22"/>
        <v>332.2888561983471</v>
      </c>
      <c r="F18" s="79">
        <f t="shared" si="22"/>
        <v>344.65359338842973</v>
      </c>
      <c r="G18" s="79">
        <f t="shared" si="22"/>
        <v>361.69969586776858</v>
      </c>
      <c r="H18" s="79">
        <f t="shared" si="22"/>
        <v>382.30363636363631</v>
      </c>
      <c r="I18" s="79">
        <f t="shared" si="22"/>
        <v>406.4917355371901</v>
      </c>
      <c r="J18" s="79">
        <f t="shared" si="22"/>
        <v>437.78332561983473</v>
      </c>
      <c r="K18" s="79">
        <f t="shared" si="22"/>
        <v>477.39832066115702</v>
      </c>
      <c r="L18" s="79">
        <f t="shared" si="22"/>
        <v>525.98335371900828</v>
      </c>
      <c r="M18" s="79">
        <f t="shared" si="22"/>
        <v>585.12950082644625</v>
      </c>
      <c r="N18" s="79">
        <f t="shared" si="22"/>
        <v>656.90183999999999</v>
      </c>
      <c r="O18" s="105">
        <f t="shared" si="2"/>
        <v>8.040000739483566E-2</v>
      </c>
      <c r="P18" s="80"/>
      <c r="Q18" s="91" t="s">
        <v>8</v>
      </c>
      <c r="R18" s="81">
        <f t="shared" si="0"/>
        <v>2.4401811561841624</v>
      </c>
      <c r="S18" s="81">
        <f t="shared" si="5"/>
        <v>3.1066604772336026</v>
      </c>
      <c r="T18" s="81">
        <f t="shared" si="6"/>
        <v>3.7210809088048302</v>
      </c>
      <c r="U18" s="81">
        <f t="shared" si="7"/>
        <v>4.9458652996336561</v>
      </c>
      <c r="V18" s="81">
        <f t="shared" si="8"/>
        <v>5.6964218469788719</v>
      </c>
      <c r="W18" s="81">
        <f t="shared" si="9"/>
        <v>6.3269341101811483</v>
      </c>
      <c r="X18" s="81">
        <f t="shared" si="10"/>
        <v>7.6979646440515914</v>
      </c>
      <c r="Y18" s="81">
        <f t="shared" si="11"/>
        <v>9.048995866901377</v>
      </c>
      <c r="Z18" s="81">
        <f t="shared" si="12"/>
        <v>10.17704314304353</v>
      </c>
      <c r="AA18" s="81">
        <f t="shared" si="13"/>
        <v>11.244870524749562</v>
      </c>
      <c r="AB18" s="81">
        <f t="shared" si="14"/>
        <v>12.266060602342099</v>
      </c>
      <c r="AC18" s="112">
        <v>0.05</v>
      </c>
      <c r="AD18" s="91" t="s">
        <v>8</v>
      </c>
      <c r="AE18" s="84">
        <v>5.5E-2</v>
      </c>
      <c r="AF18" s="84">
        <v>5.5090909090909086E-2</v>
      </c>
      <c r="AG18" s="84">
        <v>5.5181818181818179E-2</v>
      </c>
      <c r="AH18" s="84">
        <v>5.5272727272727272E-2</v>
      </c>
      <c r="AI18" s="84">
        <v>5.5363636363636365E-2</v>
      </c>
      <c r="AJ18" s="84">
        <v>5.5454545454545451E-2</v>
      </c>
      <c r="AK18" s="84">
        <v>5.5545454545454544E-2</v>
      </c>
      <c r="AL18" s="84">
        <v>5.5636363636363637E-2</v>
      </c>
      <c r="AM18" s="84">
        <v>5.5727272727272729E-2</v>
      </c>
      <c r="AN18" s="84">
        <v>5.5818181818181815E-2</v>
      </c>
      <c r="AO18" s="84">
        <v>5.5909090909090908E-2</v>
      </c>
      <c r="AP18" s="84">
        <v>5.6000000000000001E-2</v>
      </c>
      <c r="AQ18" s="83"/>
      <c r="AR18" s="83"/>
    </row>
    <row r="19" spans="2:44" ht="13.5" customHeight="1" x14ac:dyDescent="0.2">
      <c r="B19" s="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6"/>
      <c r="P19" s="24"/>
      <c r="Q19" s="5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0"/>
      <c r="AC19" s="25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26"/>
      <c r="AR19" s="26"/>
    </row>
    <row r="20" spans="2:44" x14ac:dyDescent="0.2">
      <c r="B20" s="17" t="s">
        <v>20</v>
      </c>
      <c r="C20" s="18">
        <f t="shared" ref="C20:N20" si="23">C7</f>
        <v>5720</v>
      </c>
      <c r="D20" s="18">
        <f t="shared" si="23"/>
        <v>5849.909090909091</v>
      </c>
      <c r="E20" s="18">
        <f t="shared" si="23"/>
        <v>6021.7090909090912</v>
      </c>
      <c r="F20" s="18">
        <f t="shared" si="23"/>
        <v>6235.5090909090904</v>
      </c>
      <c r="G20" s="18">
        <f t="shared" si="23"/>
        <v>6533.1636363636362</v>
      </c>
      <c r="H20" s="18">
        <f t="shared" si="23"/>
        <v>6894</v>
      </c>
      <c r="I20" s="18">
        <f t="shared" si="23"/>
        <v>7318.1818181818189</v>
      </c>
      <c r="J20" s="18">
        <f t="shared" si="23"/>
        <v>7868.6545454545458</v>
      </c>
      <c r="K20" s="18">
        <f t="shared" si="23"/>
        <v>8566.6909090909085</v>
      </c>
      <c r="L20" s="18">
        <f t="shared" si="23"/>
        <v>9423.1545454545467</v>
      </c>
      <c r="M20" s="18">
        <f t="shared" si="23"/>
        <v>10465.730909090909</v>
      </c>
      <c r="N20" s="18">
        <f t="shared" si="23"/>
        <v>11730.39</v>
      </c>
      <c r="O20" s="19">
        <f>((N20/H20)^(1/7)-1)*100%</f>
        <v>7.8890354226099246E-2</v>
      </c>
      <c r="P20" s="24"/>
      <c r="Q20" s="17" t="s">
        <v>20</v>
      </c>
      <c r="R20" s="28">
        <f t="shared" ref="R20:AB20" si="24">(D20/C20-1)*100</f>
        <v>2.271137952956126</v>
      </c>
      <c r="S20" s="28">
        <f t="shared" si="24"/>
        <v>2.9367977746352025</v>
      </c>
      <c r="T20" s="28">
        <f t="shared" si="24"/>
        <v>3.5504870257311305</v>
      </c>
      <c r="U20" s="28">
        <f t="shared" si="24"/>
        <v>4.7735403976638224</v>
      </c>
      <c r="V20" s="28">
        <f t="shared" si="24"/>
        <v>5.5231490242789283</v>
      </c>
      <c r="W20" s="28">
        <f t="shared" si="24"/>
        <v>6.1529129414247041</v>
      </c>
      <c r="X20" s="28">
        <f t="shared" si="24"/>
        <v>7.5219875776397549</v>
      </c>
      <c r="Y20" s="28">
        <f t="shared" si="24"/>
        <v>8.8711019095328645</v>
      </c>
      <c r="Z20" s="28">
        <f t="shared" si="24"/>
        <v>9.9976017046998322</v>
      </c>
      <c r="AA20" s="28">
        <f t="shared" si="24"/>
        <v>11.063984556416639</v>
      </c>
      <c r="AB20" s="28">
        <f t="shared" si="24"/>
        <v>12.083810503961656</v>
      </c>
      <c r="AC20" s="25"/>
      <c r="AD20" s="17" t="s">
        <v>20</v>
      </c>
      <c r="AE20" s="20">
        <v>1</v>
      </c>
      <c r="AF20" s="20">
        <v>1</v>
      </c>
      <c r="AG20" s="20">
        <v>1</v>
      </c>
      <c r="AH20" s="20">
        <v>1</v>
      </c>
      <c r="AI20" s="20">
        <v>1</v>
      </c>
      <c r="AJ20" s="20">
        <v>1</v>
      </c>
      <c r="AK20" s="20">
        <v>1</v>
      </c>
      <c r="AL20" s="20">
        <v>1</v>
      </c>
      <c r="AM20" s="20">
        <v>1</v>
      </c>
      <c r="AN20" s="20">
        <v>1</v>
      </c>
      <c r="AO20" s="20">
        <v>1</v>
      </c>
      <c r="AP20" s="20">
        <v>1</v>
      </c>
      <c r="AQ20" s="26"/>
      <c r="AR20" s="26"/>
    </row>
    <row r="21" spans="2:44" s="119" customFormat="1" x14ac:dyDescent="0.2">
      <c r="B21" s="120" t="s">
        <v>21</v>
      </c>
      <c r="C21" s="92">
        <f>C20*AE21</f>
        <v>952.952</v>
      </c>
      <c r="D21" s="92">
        <f t="shared" ref="D21:N21" si="25">D20*AF21</f>
        <v>974.91394049586791</v>
      </c>
      <c r="E21" s="92">
        <f t="shared" si="25"/>
        <v>1003.8736482644629</v>
      </c>
      <c r="F21" s="92">
        <f t="shared" si="25"/>
        <v>1039.8561705785123</v>
      </c>
      <c r="G21" s="92">
        <f t="shared" si="25"/>
        <v>1089.8504793388429</v>
      </c>
      <c r="H21" s="92">
        <f t="shared" si="25"/>
        <v>1150.420581818182</v>
      </c>
      <c r="I21" s="92">
        <f t="shared" si="25"/>
        <v>1221.6041322314052</v>
      </c>
      <c r="J21" s="92">
        <f t="shared" si="25"/>
        <v>1313.9222426446281</v>
      </c>
      <c r="K21" s="92">
        <f t="shared" si="25"/>
        <v>1430.9488978512395</v>
      </c>
      <c r="L21" s="92">
        <f t="shared" si="25"/>
        <v>1574.5234595041325</v>
      </c>
      <c r="M21" s="92">
        <f t="shared" si="25"/>
        <v>1749.2993499504132</v>
      </c>
      <c r="N21" s="92">
        <f t="shared" si="25"/>
        <v>1961.3212079999998</v>
      </c>
      <c r="O21" s="116">
        <f t="shared" ref="O21:O38" si="26">((N21/H21)^(1/7)-1)*100%</f>
        <v>7.9192376503900652E-2</v>
      </c>
      <c r="P21" s="117"/>
      <c r="Q21" s="120" t="s">
        <v>21</v>
      </c>
      <c r="R21" s="121">
        <f t="shared" ref="R21:AA27" si="27">(D21/C21-1)*100</f>
        <v>2.3046219007744284</v>
      </c>
      <c r="S21" s="121">
        <f t="shared" si="27"/>
        <v>2.9704886314237511</v>
      </c>
      <c r="T21" s="121">
        <f t="shared" si="27"/>
        <v>3.5843676518710677</v>
      </c>
      <c r="U21" s="121">
        <f t="shared" si="27"/>
        <v>4.8078099813089414</v>
      </c>
      <c r="V21" s="121">
        <f t="shared" si="27"/>
        <v>5.5576525062487336</v>
      </c>
      <c r="W21" s="121">
        <f t="shared" si="27"/>
        <v>6.1876109953388658</v>
      </c>
      <c r="X21" s="121">
        <f t="shared" si="27"/>
        <v>7.5571216548353526</v>
      </c>
      <c r="Y21" s="121">
        <f t="shared" si="27"/>
        <v>8.906665205017239</v>
      </c>
      <c r="Z21" s="121">
        <f t="shared" si="27"/>
        <v>10.0335212437348</v>
      </c>
      <c r="AA21" s="121">
        <f t="shared" si="27"/>
        <v>11.10024048173428</v>
      </c>
      <c r="AB21" s="121">
        <f t="shared" ref="AB21:AB38" si="28">(N21/M21-1)*100</f>
        <v>12.120387402853417</v>
      </c>
      <c r="AC21" s="25">
        <v>0.03</v>
      </c>
      <c r="AD21" s="120" t="s">
        <v>21</v>
      </c>
      <c r="AE21" s="145">
        <v>0.1666</v>
      </c>
      <c r="AF21" s="145">
        <v>0.16665454545454547</v>
      </c>
      <c r="AG21" s="145">
        <v>0.16670909090909092</v>
      </c>
      <c r="AH21" s="145">
        <v>0.16676363636363636</v>
      </c>
      <c r="AI21" s="145">
        <v>0.16681818181818181</v>
      </c>
      <c r="AJ21" s="145">
        <v>0.16687272727272728</v>
      </c>
      <c r="AK21" s="145">
        <v>0.16692727272727273</v>
      </c>
      <c r="AL21" s="145">
        <v>0.16698181818181818</v>
      </c>
      <c r="AM21" s="145">
        <v>0.16703636363636362</v>
      </c>
      <c r="AN21" s="145">
        <v>0.1670909090909091</v>
      </c>
      <c r="AO21" s="145">
        <v>0.16714545454545454</v>
      </c>
      <c r="AP21" s="145">
        <v>0.16719999999999999</v>
      </c>
      <c r="AQ21" s="118"/>
      <c r="AR21" s="122"/>
    </row>
    <row r="22" spans="2:44" s="119" customFormat="1" ht="15" customHeight="1" x14ac:dyDescent="0.2">
      <c r="B22" s="123" t="s">
        <v>22</v>
      </c>
      <c r="C22" s="92">
        <f>C20*AE22</f>
        <v>719.57600000000002</v>
      </c>
      <c r="D22" s="92">
        <f t="shared" ref="D22:N22" si="29">D20*AF22</f>
        <v>736.29083057851233</v>
      </c>
      <c r="E22" s="92">
        <f t="shared" si="29"/>
        <v>758.29740297520664</v>
      </c>
      <c r="F22" s="92">
        <f t="shared" si="29"/>
        <v>785.61745900826429</v>
      </c>
      <c r="G22" s="92">
        <f t="shared" si="29"/>
        <v>823.53497256198341</v>
      </c>
      <c r="H22" s="92">
        <f t="shared" si="29"/>
        <v>869.45874545454535</v>
      </c>
      <c r="I22" s="92">
        <f t="shared" si="29"/>
        <v>923.42148760330576</v>
      </c>
      <c r="J22" s="92">
        <f t="shared" si="29"/>
        <v>993.381869752066</v>
      </c>
      <c r="K22" s="92">
        <f t="shared" si="29"/>
        <v>1082.0509408264461</v>
      </c>
      <c r="L22" s="92">
        <f t="shared" si="29"/>
        <v>1190.8297394214876</v>
      </c>
      <c r="M22" s="92">
        <f t="shared" si="29"/>
        <v>1323.2489589421486</v>
      </c>
      <c r="N22" s="92">
        <f t="shared" si="29"/>
        <v>1483.894335</v>
      </c>
      <c r="O22" s="116">
        <f t="shared" si="26"/>
        <v>7.9356364373329491E-2</v>
      </c>
      <c r="P22" s="117"/>
      <c r="Q22" s="123" t="s">
        <v>22</v>
      </c>
      <c r="R22" s="121">
        <f t="shared" si="27"/>
        <v>2.3228721606213032</v>
      </c>
      <c r="S22" s="121">
        <f t="shared" si="27"/>
        <v>2.9888423816718523</v>
      </c>
      <c r="T22" s="121">
        <f t="shared" si="27"/>
        <v>3.6028154555015623</v>
      </c>
      <c r="U22" s="121">
        <f t="shared" si="27"/>
        <v>4.8264601453212208</v>
      </c>
      <c r="V22" s="121">
        <f t="shared" si="27"/>
        <v>5.5764204827507102</v>
      </c>
      <c r="W22" s="121">
        <f t="shared" si="27"/>
        <v>6.2064752848680849</v>
      </c>
      <c r="X22" s="121">
        <f t="shared" si="27"/>
        <v>7.5762133638820561</v>
      </c>
      <c r="Y22" s="121">
        <f t="shared" si="27"/>
        <v>8.9259804083711138</v>
      </c>
      <c r="Z22" s="121">
        <f t="shared" si="27"/>
        <v>10.053020101988785</v>
      </c>
      <c r="AA22" s="121">
        <f t="shared" si="27"/>
        <v>11.119912035870971</v>
      </c>
      <c r="AB22" s="121">
        <f t="shared" si="28"/>
        <v>12.140223120695047</v>
      </c>
      <c r="AC22" s="25">
        <v>0.04</v>
      </c>
      <c r="AD22" s="123" t="s">
        <v>22</v>
      </c>
      <c r="AE22" s="145">
        <v>0.1258</v>
      </c>
      <c r="AF22" s="145">
        <v>0.12586363636363634</v>
      </c>
      <c r="AG22" s="145">
        <v>0.12592727272727272</v>
      </c>
      <c r="AH22" s="145">
        <v>0.12599090909090907</v>
      </c>
      <c r="AI22" s="145">
        <v>0.12605454545454545</v>
      </c>
      <c r="AJ22" s="145">
        <v>0.1261181818181818</v>
      </c>
      <c r="AK22" s="145">
        <v>0.12618181818181817</v>
      </c>
      <c r="AL22" s="145">
        <v>0.12624545454545452</v>
      </c>
      <c r="AM22" s="145">
        <v>0.1263090909090909</v>
      </c>
      <c r="AN22" s="145">
        <v>0.12637272727272725</v>
      </c>
      <c r="AO22" s="145">
        <v>0.12643636363636362</v>
      </c>
      <c r="AP22" s="145">
        <v>0.1265</v>
      </c>
      <c r="AQ22" s="118"/>
      <c r="AR22" s="122"/>
    </row>
    <row r="23" spans="2:44" s="153" customFormat="1" ht="15" customHeight="1" x14ac:dyDescent="0.2">
      <c r="B23" s="146" t="s">
        <v>23</v>
      </c>
      <c r="C23" s="147">
        <f>C20*AE23</f>
        <v>1399.1120000000001</v>
      </c>
      <c r="D23" s="147">
        <f t="shared" ref="D23:N23" si="30">D20*AF23</f>
        <v>1428.8668859504132</v>
      </c>
      <c r="E23" s="147">
        <f t="shared" si="30"/>
        <v>1468.7495900826448</v>
      </c>
      <c r="F23" s="147">
        <f t="shared" si="30"/>
        <v>1518.7432687603305</v>
      </c>
      <c r="G23" s="147">
        <f t="shared" si="30"/>
        <v>1588.9841811570248</v>
      </c>
      <c r="H23" s="147">
        <f t="shared" si="30"/>
        <v>1674.3645818181817</v>
      </c>
      <c r="I23" s="147">
        <f t="shared" si="30"/>
        <v>1774.8586776859504</v>
      </c>
      <c r="J23" s="147">
        <f t="shared" si="30"/>
        <v>1905.6450644628098</v>
      </c>
      <c r="K23" s="147">
        <f t="shared" si="30"/>
        <v>2071.7373778512392</v>
      </c>
      <c r="L23" s="147">
        <f t="shared" si="30"/>
        <v>2275.6061576859506</v>
      </c>
      <c r="M23" s="147">
        <f t="shared" si="30"/>
        <v>2523.7634372231405</v>
      </c>
      <c r="N23" s="147">
        <f t="shared" si="30"/>
        <v>2824.6779119999997</v>
      </c>
      <c r="O23" s="148">
        <f t="shared" si="26"/>
        <v>7.7570163621560217E-2</v>
      </c>
      <c r="P23" s="149"/>
      <c r="Q23" s="146" t="s">
        <v>23</v>
      </c>
      <c r="R23" s="150">
        <f t="shared" ref="R23:R27" si="31">(D23/C23-1)*100</f>
        <v>2.1266979305740508</v>
      </c>
      <c r="S23" s="150">
        <f t="shared" si="27"/>
        <v>2.7912120103268823</v>
      </c>
      <c r="T23" s="150">
        <f t="shared" si="27"/>
        <v>3.4038258812295386</v>
      </c>
      <c r="U23" s="150">
        <f t="shared" si="27"/>
        <v>4.6249365407247778</v>
      </c>
      <c r="V23" s="150">
        <f t="shared" si="27"/>
        <v>5.3732693927126984</v>
      </c>
      <c r="W23" s="150">
        <f t="shared" si="27"/>
        <v>6.001924369341527</v>
      </c>
      <c r="X23" s="150">
        <f t="shared" si="27"/>
        <v>7.3688338356819427</v>
      </c>
      <c r="Y23" s="150">
        <f t="shared" si="27"/>
        <v>8.7158052926949345</v>
      </c>
      <c r="Z23" s="150">
        <f t="shared" si="27"/>
        <v>9.8404740877996666</v>
      </c>
      <c r="AA23" s="150">
        <f t="shared" si="27"/>
        <v>10.905106698671418</v>
      </c>
      <c r="AB23" s="150">
        <f t="shared" si="28"/>
        <v>11.923244086139494</v>
      </c>
      <c r="AC23" s="74">
        <v>0.01</v>
      </c>
      <c r="AD23" s="146" t="s">
        <v>23</v>
      </c>
      <c r="AE23" s="76">
        <v>0.24460000000000001</v>
      </c>
      <c r="AF23" s="76">
        <v>0.24425454545454545</v>
      </c>
      <c r="AG23" s="76">
        <v>0.24390909090909091</v>
      </c>
      <c r="AH23" s="76">
        <v>0.24356363636363637</v>
      </c>
      <c r="AI23" s="76">
        <v>0.24321818181818181</v>
      </c>
      <c r="AJ23" s="76">
        <v>0.24287272727272727</v>
      </c>
      <c r="AK23" s="76">
        <v>0.2425272727272727</v>
      </c>
      <c r="AL23" s="76">
        <v>0.24218181818181816</v>
      </c>
      <c r="AM23" s="76">
        <v>0.24183636363636363</v>
      </c>
      <c r="AN23" s="76">
        <v>0.24149090909090906</v>
      </c>
      <c r="AO23" s="76">
        <v>0.24114545454545452</v>
      </c>
      <c r="AP23" s="76">
        <v>0.24079999999999999</v>
      </c>
      <c r="AQ23" s="151"/>
      <c r="AR23" s="152"/>
    </row>
    <row r="24" spans="2:44" s="119" customFormat="1" ht="15" customHeight="1" x14ac:dyDescent="0.2">
      <c r="B24" s="123" t="s">
        <v>24</v>
      </c>
      <c r="C24" s="92">
        <f>C20*AE24</f>
        <v>660.08799999999997</v>
      </c>
      <c r="D24" s="92">
        <f t="shared" ref="D24:N24" si="32">D20*AF24</f>
        <v>675.66450000000009</v>
      </c>
      <c r="E24" s="92">
        <f t="shared" si="32"/>
        <v>696.10957090909096</v>
      </c>
      <c r="F24" s="92">
        <f t="shared" si="32"/>
        <v>721.44840181818176</v>
      </c>
      <c r="G24" s="92">
        <f t="shared" si="32"/>
        <v>756.5403490909091</v>
      </c>
      <c r="H24" s="92">
        <f t="shared" si="32"/>
        <v>799.01459999999997</v>
      </c>
      <c r="I24" s="92">
        <f t="shared" si="32"/>
        <v>848.90909090909099</v>
      </c>
      <c r="J24" s="92">
        <f t="shared" si="32"/>
        <v>913.55079272727278</v>
      </c>
      <c r="K24" s="92">
        <f t="shared" si="32"/>
        <v>995.44948363636354</v>
      </c>
      <c r="L24" s="92">
        <f t="shared" si="32"/>
        <v>1095.9128736363639</v>
      </c>
      <c r="M24" s="92">
        <f t="shared" si="32"/>
        <v>1218.2110778181818</v>
      </c>
      <c r="N24" s="92">
        <f t="shared" si="32"/>
        <v>1366.5904350000001</v>
      </c>
      <c r="O24" s="116">
        <f t="shared" si="26"/>
        <v>7.9686487078109103E-2</v>
      </c>
      <c r="P24" s="117"/>
      <c r="Q24" s="123" t="s">
        <v>24</v>
      </c>
      <c r="R24" s="121">
        <f t="shared" si="31"/>
        <v>2.3597611227594184</v>
      </c>
      <c r="S24" s="121">
        <f t="shared" si="27"/>
        <v>3.0259205432712433</v>
      </c>
      <c r="T24" s="121">
        <f t="shared" si="27"/>
        <v>3.6400635716011376</v>
      </c>
      <c r="U24" s="121">
        <f t="shared" si="27"/>
        <v>4.8640966123549845</v>
      </c>
      <c r="V24" s="121">
        <f t="shared" si="27"/>
        <v>5.6142743688594621</v>
      </c>
      <c r="W24" s="121">
        <f t="shared" si="27"/>
        <v>6.2445030302438864</v>
      </c>
      <c r="X24" s="121">
        <f t="shared" si="27"/>
        <v>7.6146789462411713</v>
      </c>
      <c r="Y24" s="121">
        <f t="shared" si="27"/>
        <v>8.9648754684557908</v>
      </c>
      <c r="Z24" s="121">
        <f t="shared" si="27"/>
        <v>10.092264012535225</v>
      </c>
      <c r="AA24" s="121">
        <f t="shared" si="27"/>
        <v>11.159482393524446</v>
      </c>
      <c r="AB24" s="121">
        <f t="shared" si="28"/>
        <v>12.180102437384321</v>
      </c>
      <c r="AC24" s="25">
        <v>0.05</v>
      </c>
      <c r="AD24" s="123" t="s">
        <v>24</v>
      </c>
      <c r="AE24" s="145">
        <v>0.1154</v>
      </c>
      <c r="AF24" s="145">
        <v>0.11550000000000001</v>
      </c>
      <c r="AG24" s="145">
        <v>0.11559999999999999</v>
      </c>
      <c r="AH24" s="145">
        <v>0.1157</v>
      </c>
      <c r="AI24" s="145">
        <v>0.1158</v>
      </c>
      <c r="AJ24" s="145">
        <v>0.1159</v>
      </c>
      <c r="AK24" s="145">
        <v>0.11600000000000001</v>
      </c>
      <c r="AL24" s="145">
        <v>0.11610000000000001</v>
      </c>
      <c r="AM24" s="145">
        <v>0.1162</v>
      </c>
      <c r="AN24" s="145">
        <v>0.1163</v>
      </c>
      <c r="AO24" s="145">
        <v>0.1164</v>
      </c>
      <c r="AP24" s="145">
        <v>0.11650000000000001</v>
      </c>
      <c r="AQ24" s="118"/>
      <c r="AR24" s="122"/>
    </row>
    <row r="25" spans="2:44" s="153" customFormat="1" ht="15" customHeight="1" x14ac:dyDescent="0.2">
      <c r="B25" s="146" t="s">
        <v>25</v>
      </c>
      <c r="C25" s="147">
        <f>C20*AE25</f>
        <v>1037.6079999999999</v>
      </c>
      <c r="D25" s="147">
        <f t="shared" ref="D25:N25" si="33">D20*AF25</f>
        <v>1060.4289752066115</v>
      </c>
      <c r="E25" s="147">
        <f t="shared" si="33"/>
        <v>1090.8052304132232</v>
      </c>
      <c r="F25" s="147">
        <f t="shared" si="33"/>
        <v>1128.7405183471074</v>
      </c>
      <c r="G25" s="147">
        <f t="shared" si="33"/>
        <v>1181.7899094214877</v>
      </c>
      <c r="H25" s="147">
        <f t="shared" si="33"/>
        <v>1246.1845090909089</v>
      </c>
      <c r="I25" s="147">
        <f t="shared" si="33"/>
        <v>1321.9297520661157</v>
      </c>
      <c r="J25" s="147">
        <f t="shared" si="33"/>
        <v>1420.3636786776858</v>
      </c>
      <c r="K25" s="147">
        <f t="shared" si="33"/>
        <v>1545.2752819834709</v>
      </c>
      <c r="L25" s="147">
        <f t="shared" si="33"/>
        <v>1698.5664393388431</v>
      </c>
      <c r="M25" s="147">
        <f t="shared" si="33"/>
        <v>1885.163565752066</v>
      </c>
      <c r="N25" s="147">
        <f t="shared" si="33"/>
        <v>2111.4701999999997</v>
      </c>
      <c r="O25" s="148">
        <f t="shared" si="26"/>
        <v>7.8238061643151058E-2</v>
      </c>
      <c r="P25" s="149"/>
      <c r="Q25" s="146" t="s">
        <v>25</v>
      </c>
      <c r="R25" s="150">
        <f t="shared" si="31"/>
        <v>2.1993831202739011</v>
      </c>
      <c r="S25" s="150">
        <f t="shared" si="27"/>
        <v>2.8645251984644515</v>
      </c>
      <c r="T25" s="150">
        <f t="shared" si="27"/>
        <v>3.4777324930421738</v>
      </c>
      <c r="U25" s="150">
        <f t="shared" si="27"/>
        <v>4.6998747907148974</v>
      </c>
      <c r="V25" s="150">
        <f t="shared" si="27"/>
        <v>5.4489041712112662</v>
      </c>
      <c r="W25" s="150">
        <f t="shared" si="27"/>
        <v>6.0781724072676013</v>
      </c>
      <c r="X25" s="150">
        <f t="shared" si="27"/>
        <v>7.4462297605241368</v>
      </c>
      <c r="Y25" s="150">
        <f t="shared" si="27"/>
        <v>8.794339448476606</v>
      </c>
      <c r="Z25" s="150">
        <f t="shared" si="27"/>
        <v>9.9199902530384243</v>
      </c>
      <c r="AA25" s="150">
        <f t="shared" si="27"/>
        <v>10.985565362156491</v>
      </c>
      <c r="AB25" s="150">
        <f t="shared" si="28"/>
        <v>12.004615321411173</v>
      </c>
      <c r="AC25" s="74">
        <v>0.02</v>
      </c>
      <c r="AD25" s="146" t="s">
        <v>25</v>
      </c>
      <c r="AE25" s="76">
        <v>0.18140000000000001</v>
      </c>
      <c r="AF25" s="76">
        <v>0.18127272727272728</v>
      </c>
      <c r="AG25" s="76">
        <v>0.18114545454545455</v>
      </c>
      <c r="AH25" s="76">
        <v>0.18101818181818183</v>
      </c>
      <c r="AI25" s="76">
        <v>0.1808909090909091</v>
      </c>
      <c r="AJ25" s="76">
        <v>0.18076363636363635</v>
      </c>
      <c r="AK25" s="76">
        <v>0.18063636363636362</v>
      </c>
      <c r="AL25" s="76">
        <v>0.1805090909090909</v>
      </c>
      <c r="AM25" s="76">
        <v>0.18038181818181817</v>
      </c>
      <c r="AN25" s="76">
        <v>0.18025454545454545</v>
      </c>
      <c r="AO25" s="76">
        <v>0.18012727272727272</v>
      </c>
      <c r="AP25" s="76">
        <v>0.18</v>
      </c>
      <c r="AQ25" s="151"/>
      <c r="AR25" s="152"/>
    </row>
    <row r="26" spans="2:44" s="119" customFormat="1" ht="15" customHeight="1" x14ac:dyDescent="0.2">
      <c r="B26" s="123" t="s">
        <v>26</v>
      </c>
      <c r="C26" s="92">
        <f>C20*AE26</f>
        <v>564.56399999999996</v>
      </c>
      <c r="D26" s="92">
        <f t="shared" ref="D26:N26" si="34">D20*AF26</f>
        <v>578.07738016528924</v>
      </c>
      <c r="E26" s="92">
        <f t="shared" si="34"/>
        <v>595.76600033057844</v>
      </c>
      <c r="F26" s="92">
        <f t="shared" si="34"/>
        <v>617.6555186776859</v>
      </c>
      <c r="G26" s="92">
        <f t="shared" si="34"/>
        <v>647.91165553719009</v>
      </c>
      <c r="H26" s="92">
        <f t="shared" si="34"/>
        <v>684.51152727272722</v>
      </c>
      <c r="I26" s="92">
        <f t="shared" si="34"/>
        <v>727.49380165289256</v>
      </c>
      <c r="J26" s="92">
        <f t="shared" si="34"/>
        <v>783.14572694214883</v>
      </c>
      <c r="K26" s="92">
        <f t="shared" si="34"/>
        <v>853.63180958677685</v>
      </c>
      <c r="L26" s="92">
        <f t="shared" si="34"/>
        <v>940.08816347107449</v>
      </c>
      <c r="M26" s="92">
        <f t="shared" si="34"/>
        <v>1045.336231801653</v>
      </c>
      <c r="N26" s="92">
        <f t="shared" si="34"/>
        <v>1173.039</v>
      </c>
      <c r="O26" s="116">
        <f t="shared" si="26"/>
        <v>7.9987707080330983E-2</v>
      </c>
      <c r="P26" s="117"/>
      <c r="Q26" s="123" t="s">
        <v>26</v>
      </c>
      <c r="R26" s="121">
        <f t="shared" si="31"/>
        <v>2.3935957952135212</v>
      </c>
      <c r="S26" s="121">
        <f t="shared" si="27"/>
        <v>3.0599052604742161</v>
      </c>
      <c r="T26" s="121">
        <f t="shared" si="27"/>
        <v>3.6741805230512403</v>
      </c>
      <c r="U26" s="121">
        <f t="shared" si="27"/>
        <v>4.8985455394745525</v>
      </c>
      <c r="V26" s="121">
        <f t="shared" si="27"/>
        <v>5.6488984914450757</v>
      </c>
      <c r="W26" s="121">
        <f t="shared" si="27"/>
        <v>6.2792623159200867</v>
      </c>
      <c r="X26" s="121">
        <f t="shared" si="27"/>
        <v>7.6498143575674638</v>
      </c>
      <c r="Y26" s="121">
        <f t="shared" si="27"/>
        <v>9.0003788847633928</v>
      </c>
      <c r="Z26" s="121">
        <f t="shared" si="27"/>
        <v>10.128061409303513</v>
      </c>
      <c r="AA26" s="121">
        <f t="shared" si="27"/>
        <v>11.195552972603394</v>
      </c>
      <c r="AB26" s="121">
        <f t="shared" si="28"/>
        <v>12.216429921141202</v>
      </c>
      <c r="AC26" s="25">
        <v>0.06</v>
      </c>
      <c r="AD26" s="123" t="s">
        <v>26</v>
      </c>
      <c r="AE26" s="145">
        <v>9.8699999999999996E-2</v>
      </c>
      <c r="AF26" s="145">
        <v>9.8818181818181805E-2</v>
      </c>
      <c r="AG26" s="145">
        <v>9.8936363636363628E-2</v>
      </c>
      <c r="AH26" s="145">
        <v>9.9054545454545451E-2</v>
      </c>
      <c r="AI26" s="145">
        <v>9.9172727272727274E-2</v>
      </c>
      <c r="AJ26" s="145">
        <v>9.9290909090909082E-2</v>
      </c>
      <c r="AK26" s="145">
        <v>9.9409090909090905E-2</v>
      </c>
      <c r="AL26" s="145">
        <v>9.9527272727272728E-2</v>
      </c>
      <c r="AM26" s="145">
        <v>9.9645454545454551E-2</v>
      </c>
      <c r="AN26" s="145">
        <v>9.976363636363636E-2</v>
      </c>
      <c r="AO26" s="145">
        <v>9.9881818181818183E-2</v>
      </c>
      <c r="AP26" s="145">
        <v>0.1</v>
      </c>
      <c r="AQ26" s="118"/>
      <c r="AR26" s="122"/>
    </row>
    <row r="27" spans="2:44" s="119" customFormat="1" ht="15" customHeight="1" x14ac:dyDescent="0.2">
      <c r="B27" s="123" t="s">
        <v>8</v>
      </c>
      <c r="C27" s="92">
        <f t="shared" ref="C27:N27" si="35">C20*AE27</f>
        <v>386.1</v>
      </c>
      <c r="D27" s="92">
        <f t="shared" si="35"/>
        <v>395.66657851239665</v>
      </c>
      <c r="E27" s="92">
        <f t="shared" si="35"/>
        <v>408.10764793388432</v>
      </c>
      <c r="F27" s="92">
        <f t="shared" si="35"/>
        <v>423.44775371900823</v>
      </c>
      <c r="G27" s="92">
        <f t="shared" si="35"/>
        <v>444.55208925619837</v>
      </c>
      <c r="H27" s="92">
        <f t="shared" si="35"/>
        <v>470.0454545454545</v>
      </c>
      <c r="I27" s="92">
        <f t="shared" si="35"/>
        <v>499.96487603305792</v>
      </c>
      <c r="J27" s="92">
        <f t="shared" si="35"/>
        <v>538.64517024793383</v>
      </c>
      <c r="K27" s="92">
        <f t="shared" si="35"/>
        <v>587.59711735537189</v>
      </c>
      <c r="L27" s="92">
        <f t="shared" si="35"/>
        <v>647.62771239669428</v>
      </c>
      <c r="M27" s="92">
        <f t="shared" si="35"/>
        <v>720.70828760330585</v>
      </c>
      <c r="N27" s="92">
        <f t="shared" si="35"/>
        <v>809.39691000000005</v>
      </c>
      <c r="O27" s="116">
        <f t="shared" si="26"/>
        <v>8.073043875733088E-2</v>
      </c>
      <c r="P27" s="117"/>
      <c r="Q27" s="123" t="s">
        <v>8</v>
      </c>
      <c r="R27" s="121">
        <f t="shared" si="31"/>
        <v>2.4777463124570298</v>
      </c>
      <c r="S27" s="121">
        <f t="shared" si="27"/>
        <v>3.144331641116338</v>
      </c>
      <c r="T27" s="121">
        <f t="shared" si="27"/>
        <v>3.7588381062658049</v>
      </c>
      <c r="U27" s="121">
        <f t="shared" si="27"/>
        <v>4.9839290330005115</v>
      </c>
      <c r="V27" s="121">
        <f t="shared" si="27"/>
        <v>5.7346182608005059</v>
      </c>
      <c r="W27" s="121">
        <f t="shared" si="27"/>
        <v>6.3652187673075566</v>
      </c>
      <c r="X27" s="121">
        <f t="shared" si="27"/>
        <v>7.7366023233036874</v>
      </c>
      <c r="Y27" s="121">
        <f t="shared" si="27"/>
        <v>9.0879766145319572</v>
      </c>
      <c r="Z27" s="121">
        <f t="shared" si="27"/>
        <v>10.216284809480536</v>
      </c>
      <c r="AA27" s="121">
        <f t="shared" si="27"/>
        <v>11.284349605139688</v>
      </c>
      <c r="AB27" s="121">
        <f t="shared" si="28"/>
        <v>12.305758643573483</v>
      </c>
      <c r="AC27" s="25">
        <v>7.0000000000000007E-2</v>
      </c>
      <c r="AD27" s="123" t="s">
        <v>8</v>
      </c>
      <c r="AE27" s="145">
        <v>6.7500000000000004E-2</v>
      </c>
      <c r="AF27" s="145">
        <v>6.7636363636363633E-2</v>
      </c>
      <c r="AG27" s="145">
        <v>6.7772727272727276E-2</v>
      </c>
      <c r="AH27" s="145">
        <v>6.7909090909090905E-2</v>
      </c>
      <c r="AI27" s="145">
        <v>6.8045454545454548E-2</v>
      </c>
      <c r="AJ27" s="145">
        <v>6.8181818181818177E-2</v>
      </c>
      <c r="AK27" s="145">
        <v>6.831818181818182E-2</v>
      </c>
      <c r="AL27" s="145">
        <v>6.8454545454545448E-2</v>
      </c>
      <c r="AM27" s="145">
        <v>6.8590909090909091E-2</v>
      </c>
      <c r="AN27" s="145">
        <v>6.872727272727272E-2</v>
      </c>
      <c r="AO27" s="145">
        <v>6.8863636363636363E-2</v>
      </c>
      <c r="AP27" s="145">
        <v>6.9000000000000006E-2</v>
      </c>
      <c r="AQ27" s="118"/>
      <c r="AR27" s="122"/>
    </row>
    <row r="28" spans="2:44" x14ac:dyDescent="0.2">
      <c r="B28" s="8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6"/>
      <c r="P28" s="24"/>
      <c r="Q28" s="8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0"/>
      <c r="AC28" s="25"/>
      <c r="AD28" s="8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26"/>
      <c r="AR28" s="26"/>
    </row>
    <row r="29" spans="2:44" x14ac:dyDescent="0.2">
      <c r="B29" s="17" t="s">
        <v>1</v>
      </c>
      <c r="C29" s="18">
        <f t="shared" ref="C29:N29" si="36">C7</f>
        <v>5720</v>
      </c>
      <c r="D29" s="18">
        <f t="shared" si="36"/>
        <v>5849.909090909091</v>
      </c>
      <c r="E29" s="18">
        <f t="shared" si="36"/>
        <v>6021.7090909090912</v>
      </c>
      <c r="F29" s="18">
        <f t="shared" si="36"/>
        <v>6235.5090909090904</v>
      </c>
      <c r="G29" s="18">
        <f t="shared" si="36"/>
        <v>6533.1636363636362</v>
      </c>
      <c r="H29" s="18">
        <f t="shared" si="36"/>
        <v>6894</v>
      </c>
      <c r="I29" s="18">
        <f t="shared" si="36"/>
        <v>7318.1818181818189</v>
      </c>
      <c r="J29" s="18">
        <f t="shared" si="36"/>
        <v>7868.6545454545458</v>
      </c>
      <c r="K29" s="18">
        <f t="shared" si="36"/>
        <v>8566.6909090909085</v>
      </c>
      <c r="L29" s="18">
        <f t="shared" si="36"/>
        <v>9423.1545454545467</v>
      </c>
      <c r="M29" s="18">
        <f t="shared" si="36"/>
        <v>10465.730909090909</v>
      </c>
      <c r="N29" s="18">
        <f t="shared" si="36"/>
        <v>11730.39</v>
      </c>
      <c r="O29" s="19">
        <f t="shared" si="26"/>
        <v>7.8890354226099246E-2</v>
      </c>
      <c r="P29" s="24"/>
      <c r="Q29" s="17" t="s">
        <v>1</v>
      </c>
      <c r="R29" s="28">
        <f t="shared" ref="R29:AB38" si="37">(D29/C29-1)*100</f>
        <v>2.271137952956126</v>
      </c>
      <c r="S29" s="28">
        <f t="shared" si="37"/>
        <v>2.9367977746352025</v>
      </c>
      <c r="T29" s="28">
        <f t="shared" si="37"/>
        <v>3.5504870257311305</v>
      </c>
      <c r="U29" s="28">
        <f t="shared" si="37"/>
        <v>4.7735403976638224</v>
      </c>
      <c r="V29" s="28">
        <f t="shared" si="37"/>
        <v>5.5231490242789283</v>
      </c>
      <c r="W29" s="28">
        <f t="shared" si="37"/>
        <v>6.1529129414247041</v>
      </c>
      <c r="X29" s="28">
        <f t="shared" si="37"/>
        <v>7.5219875776397549</v>
      </c>
      <c r="Y29" s="28">
        <f t="shared" si="37"/>
        <v>8.8711019095328645</v>
      </c>
      <c r="Z29" s="28">
        <f t="shared" si="37"/>
        <v>9.9976017046998322</v>
      </c>
      <c r="AA29" s="28">
        <f t="shared" si="37"/>
        <v>11.063984556416639</v>
      </c>
      <c r="AB29" s="28">
        <f t="shared" si="37"/>
        <v>12.083810503961656</v>
      </c>
      <c r="AC29" s="25"/>
      <c r="AD29" s="17" t="s">
        <v>1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J29" s="20">
        <v>1</v>
      </c>
      <c r="AK29" s="20">
        <v>1</v>
      </c>
      <c r="AL29" s="20">
        <v>1</v>
      </c>
      <c r="AM29" s="20">
        <v>1</v>
      </c>
      <c r="AN29" s="20">
        <v>1</v>
      </c>
      <c r="AO29" s="20">
        <v>1</v>
      </c>
      <c r="AP29" s="20">
        <v>1</v>
      </c>
      <c r="AQ29" s="26"/>
      <c r="AR29" s="26"/>
    </row>
    <row r="30" spans="2:44" s="115" customFormat="1" x14ac:dyDescent="0.2">
      <c r="B30" s="77" t="s">
        <v>49</v>
      </c>
      <c r="C30" s="130">
        <f>C29*AE30</f>
        <v>975.2600000000001</v>
      </c>
      <c r="D30" s="130">
        <f t="shared" ref="D30:N30" si="38">D29*AF30</f>
        <v>993.84637355371922</v>
      </c>
      <c r="E30" s="130">
        <f t="shared" si="38"/>
        <v>1019.3658634710746</v>
      </c>
      <c r="F30" s="130">
        <f t="shared" si="38"/>
        <v>1051.7603242975206</v>
      </c>
      <c r="G30" s="130">
        <f t="shared" si="38"/>
        <v>1097.9872376859505</v>
      </c>
      <c r="H30" s="130">
        <f t="shared" si="38"/>
        <v>1154.4316363636365</v>
      </c>
      <c r="I30" s="130">
        <f t="shared" si="38"/>
        <v>1221.0053719008267</v>
      </c>
      <c r="J30" s="130">
        <f t="shared" si="38"/>
        <v>1308.0565183471076</v>
      </c>
      <c r="K30" s="130">
        <f t="shared" si="38"/>
        <v>1418.877651570248</v>
      </c>
      <c r="L30" s="130">
        <f t="shared" si="38"/>
        <v>1554.991830082645</v>
      </c>
      <c r="M30" s="130">
        <f t="shared" si="38"/>
        <v>1720.66130446281</v>
      </c>
      <c r="N30" s="130">
        <f t="shared" si="38"/>
        <v>1921.4378819999999</v>
      </c>
      <c r="O30" s="98">
        <f t="shared" si="26"/>
        <v>7.549477330124188E-2</v>
      </c>
      <c r="P30" s="132"/>
      <c r="Q30" s="77" t="s">
        <v>49</v>
      </c>
      <c r="R30" s="133">
        <f t="shared" si="37"/>
        <v>1.9057865137213748</v>
      </c>
      <c r="S30" s="133">
        <f t="shared" si="37"/>
        <v>2.567749965832733</v>
      </c>
      <c r="T30" s="133">
        <f t="shared" si="37"/>
        <v>3.1779032423293607</v>
      </c>
      <c r="U30" s="133">
        <f t="shared" si="37"/>
        <v>4.3951946389787278</v>
      </c>
      <c r="V30" s="133">
        <f t="shared" si="37"/>
        <v>5.1407153690278484</v>
      </c>
      <c r="W30" s="133">
        <f t="shared" si="37"/>
        <v>5.7667975686193085</v>
      </c>
      <c r="X30" s="133">
        <f t="shared" si="37"/>
        <v>7.129464656716622</v>
      </c>
      <c r="Y30" s="133">
        <f t="shared" si="37"/>
        <v>8.4721976205719862</v>
      </c>
      <c r="Z30" s="133">
        <f t="shared" si="37"/>
        <v>9.593087773407504</v>
      </c>
      <c r="AA30" s="133">
        <f t="shared" si="37"/>
        <v>10.654041466659026</v>
      </c>
      <c r="AB30" s="133">
        <f t="shared" si="28"/>
        <v>11.668570509282894</v>
      </c>
      <c r="AC30" s="74">
        <v>0.01</v>
      </c>
      <c r="AD30" s="77" t="s">
        <v>49</v>
      </c>
      <c r="AE30" s="155">
        <v>0.17050000000000001</v>
      </c>
      <c r="AF30" s="155">
        <v>0.16989090909090912</v>
      </c>
      <c r="AG30" s="155">
        <v>0.1692818181818182</v>
      </c>
      <c r="AH30" s="155">
        <v>0.16867272727272728</v>
      </c>
      <c r="AI30" s="155">
        <v>0.16806363636363639</v>
      </c>
      <c r="AJ30" s="155">
        <v>0.16745454545454547</v>
      </c>
      <c r="AK30" s="155">
        <v>0.16684545454545457</v>
      </c>
      <c r="AL30" s="155">
        <v>0.16623636363636365</v>
      </c>
      <c r="AM30" s="155">
        <v>0.16562727272727273</v>
      </c>
      <c r="AN30" s="155">
        <v>0.16501818181818184</v>
      </c>
      <c r="AO30" s="155">
        <v>0.16440909090909092</v>
      </c>
      <c r="AP30" s="155">
        <v>0.1638</v>
      </c>
      <c r="AQ30" s="75"/>
      <c r="AR30" s="136"/>
    </row>
    <row r="31" spans="2:44" x14ac:dyDescent="0.2">
      <c r="B31" s="8" t="s">
        <v>50</v>
      </c>
      <c r="C31" s="21">
        <f>C29*AE31</f>
        <v>760.76</v>
      </c>
      <c r="D31" s="21">
        <f t="shared" ref="D31:N31" si="39">D29*AF31</f>
        <v>779.10152892561996</v>
      </c>
      <c r="E31" s="21">
        <f t="shared" si="39"/>
        <v>803.07702148760347</v>
      </c>
      <c r="F31" s="21">
        <f t="shared" si="39"/>
        <v>832.72389586776853</v>
      </c>
      <c r="G31" s="21">
        <f t="shared" si="39"/>
        <v>873.66215537190101</v>
      </c>
      <c r="H31" s="21">
        <f t="shared" si="39"/>
        <v>923.16927272727287</v>
      </c>
      <c r="I31" s="21">
        <f t="shared" si="39"/>
        <v>981.30165289256229</v>
      </c>
      <c r="J31" s="21">
        <f t="shared" si="39"/>
        <v>1056.5457057851243</v>
      </c>
      <c r="K31" s="21">
        <f t="shared" si="39"/>
        <v>1151.830532231405</v>
      </c>
      <c r="L31" s="21">
        <f t="shared" si="39"/>
        <v>1268.6992619834716</v>
      </c>
      <c r="M31" s="21">
        <f t="shared" si="39"/>
        <v>1410.9708125619836</v>
      </c>
      <c r="N31" s="21">
        <f t="shared" si="39"/>
        <v>1583.60265</v>
      </c>
      <c r="O31" s="19">
        <f t="shared" si="26"/>
        <v>8.0141611002555901E-2</v>
      </c>
      <c r="P31" s="24"/>
      <c r="Q31" s="8" t="s">
        <v>50</v>
      </c>
      <c r="R31" s="30">
        <f t="shared" si="37"/>
        <v>2.4109481210394801</v>
      </c>
      <c r="S31" s="30">
        <f t="shared" si="37"/>
        <v>3.0773258262046577</v>
      </c>
      <c r="T31" s="30">
        <f t="shared" si="37"/>
        <v>3.6916601505105673</v>
      </c>
      <c r="U31" s="30">
        <f t="shared" si="37"/>
        <v>4.9161864703631819</v>
      </c>
      <c r="V31" s="30">
        <f t="shared" si="37"/>
        <v>5.6666203349849287</v>
      </c>
      <c r="W31" s="30">
        <f t="shared" si="37"/>
        <v>6.2970445272243269</v>
      </c>
      <c r="X31" s="30">
        <f t="shared" si="37"/>
        <v>7.6677801031687531</v>
      </c>
      <c r="Y31" s="30">
        <f t="shared" si="37"/>
        <v>9.0185238484760113</v>
      </c>
      <c r="Z31" s="30">
        <f t="shared" si="37"/>
        <v>10.146347616403295</v>
      </c>
      <c r="AA31" s="30">
        <f t="shared" si="37"/>
        <v>11.213969680733161</v>
      </c>
      <c r="AB31" s="30">
        <f t="shared" si="28"/>
        <v>12.234968710979821</v>
      </c>
      <c r="AC31" s="25">
        <v>0.04</v>
      </c>
      <c r="AD31" s="8" t="s">
        <v>50</v>
      </c>
      <c r="AE31" s="156">
        <v>0.13300000000000001</v>
      </c>
      <c r="AF31" s="156">
        <v>0.13318181818181821</v>
      </c>
      <c r="AG31" s="156">
        <v>0.13336363636363638</v>
      </c>
      <c r="AH31" s="156">
        <v>0.13354545454545455</v>
      </c>
      <c r="AI31" s="156">
        <v>0.13372727272727275</v>
      </c>
      <c r="AJ31" s="156">
        <v>0.13390909090909092</v>
      </c>
      <c r="AK31" s="156">
        <v>0.13409090909090912</v>
      </c>
      <c r="AL31" s="156">
        <v>0.13427272727272729</v>
      </c>
      <c r="AM31" s="156">
        <v>0.13445454545454547</v>
      </c>
      <c r="AN31" s="156">
        <v>0.13463636363636367</v>
      </c>
      <c r="AO31" s="156">
        <v>0.13481818181818184</v>
      </c>
      <c r="AP31" s="156">
        <v>0.13500000000000001</v>
      </c>
      <c r="AQ31" s="26"/>
      <c r="AR31" s="26"/>
    </row>
    <row r="32" spans="2:44" x14ac:dyDescent="0.2">
      <c r="B32" s="9" t="s">
        <v>54</v>
      </c>
      <c r="C32" s="21">
        <f>C29*AE32</f>
        <v>858</v>
      </c>
      <c r="D32" s="21">
        <f t="shared" ref="D32:N32" si="40">D29*AF32</f>
        <v>877.7522685950413</v>
      </c>
      <c r="E32" s="21">
        <f t="shared" si="40"/>
        <v>903.80379173553717</v>
      </c>
      <c r="F32" s="21">
        <f t="shared" si="40"/>
        <v>936.17666033057833</v>
      </c>
      <c r="G32" s="21">
        <f t="shared" si="40"/>
        <v>981.16239338842968</v>
      </c>
      <c r="H32" s="21">
        <f t="shared" si="40"/>
        <v>1035.6668181818181</v>
      </c>
      <c r="I32" s="21">
        <f t="shared" si="40"/>
        <v>1099.7231404958679</v>
      </c>
      <c r="J32" s="21">
        <f t="shared" si="40"/>
        <v>1182.8018446280992</v>
      </c>
      <c r="K32" s="21">
        <f t="shared" si="40"/>
        <v>1288.1187966942148</v>
      </c>
      <c r="L32" s="21">
        <f t="shared" si="40"/>
        <v>1417.328108677686</v>
      </c>
      <c r="M32" s="21">
        <f t="shared" si="40"/>
        <v>1574.6167867768595</v>
      </c>
      <c r="N32" s="21">
        <f t="shared" si="40"/>
        <v>1765.423695</v>
      </c>
      <c r="O32" s="19">
        <f t="shared" si="26"/>
        <v>7.9169944078992582E-2</v>
      </c>
      <c r="P32" s="24"/>
      <c r="Q32" s="9" t="s">
        <v>54</v>
      </c>
      <c r="R32" s="30">
        <f t="shared" si="37"/>
        <v>2.3021292068812649</v>
      </c>
      <c r="S32" s="30">
        <f t="shared" ref="S32:S38" si="41">(E32/D32-1)*100</f>
        <v>2.9679812941064476</v>
      </c>
      <c r="T32" s="30">
        <f t="shared" ref="T32:T38" si="42">(F32/E32-1)*100</f>
        <v>3.5818469551756271</v>
      </c>
      <c r="U32" s="30">
        <f t="shared" ref="U32:U38" si="43">(G32/F32-1)*100</f>
        <v>4.8052611183412974</v>
      </c>
      <c r="V32" s="30">
        <f t="shared" ref="V32:V38" si="44">(H32/G32-1)*100</f>
        <v>5.5550870233782801</v>
      </c>
      <c r="W32" s="30">
        <f t="shared" ref="W32:W38" si="45">(I32/H32-1)*100</f>
        <v>6.1850318258245274</v>
      </c>
      <c r="X32" s="30">
        <f t="shared" ref="X32:X38" si="46">(J32/I32-1)*100</f>
        <v>7.5545108648682913</v>
      </c>
      <c r="Y32" s="30">
        <f t="shared" ref="Y32:Y38" si="47">(K32/J32-1)*100</f>
        <v>8.9040233192424267</v>
      </c>
      <c r="Z32" s="30">
        <f t="shared" ref="Z32:Z38" si="48">(L32/K32-1)*100</f>
        <v>10.030853700378394</v>
      </c>
      <c r="AA32" s="30">
        <f t="shared" ref="AA32:AA38" si="49">(M32/L32-1)*100</f>
        <v>11.097548770546716</v>
      </c>
      <c r="AB32" s="30">
        <f t="shared" si="28"/>
        <v>12.117672682361658</v>
      </c>
      <c r="AC32" s="25">
        <v>0.03</v>
      </c>
      <c r="AD32" s="9" t="s">
        <v>54</v>
      </c>
      <c r="AE32" s="27">
        <v>0.15</v>
      </c>
      <c r="AF32" s="27">
        <v>0.15004545454545454</v>
      </c>
      <c r="AG32" s="27">
        <v>0.15009090909090908</v>
      </c>
      <c r="AH32" s="27">
        <v>0.15013636363636362</v>
      </c>
      <c r="AI32" s="27">
        <v>0.15018181818181817</v>
      </c>
      <c r="AJ32" s="27">
        <v>0.15022727272727274</v>
      </c>
      <c r="AK32" s="27">
        <v>0.15027272727272728</v>
      </c>
      <c r="AL32" s="27">
        <v>0.15031818181818182</v>
      </c>
      <c r="AM32" s="27">
        <v>0.15036363636363637</v>
      </c>
      <c r="AN32" s="27">
        <v>0.15040909090909091</v>
      </c>
      <c r="AO32" s="27">
        <v>0.15045454545454545</v>
      </c>
      <c r="AP32" s="27">
        <v>0.15049999999999999</v>
      </c>
      <c r="AQ32" s="26"/>
      <c r="AR32" s="26"/>
    </row>
    <row r="33" spans="2:44" s="115" customFormat="1" x14ac:dyDescent="0.2">
      <c r="B33" s="77" t="s">
        <v>51</v>
      </c>
      <c r="C33" s="130">
        <f>C29*AE33</f>
        <v>929.5</v>
      </c>
      <c r="D33" s="130">
        <f t="shared" ref="D33:N33" si="50">D29*AF33</f>
        <v>949.28070247933874</v>
      </c>
      <c r="E33" s="130">
        <f t="shared" si="50"/>
        <v>975.79058677685953</v>
      </c>
      <c r="F33" s="130">
        <f t="shared" si="50"/>
        <v>1009.0187438016527</v>
      </c>
      <c r="G33" s="130">
        <f t="shared" si="50"/>
        <v>1055.6998512396694</v>
      </c>
      <c r="H33" s="130">
        <f t="shared" si="50"/>
        <v>1112.4409090909089</v>
      </c>
      <c r="I33" s="130">
        <f t="shared" si="50"/>
        <v>1179.2252066115705</v>
      </c>
      <c r="J33" s="130">
        <f t="shared" si="50"/>
        <v>1266.1380495867768</v>
      </c>
      <c r="K33" s="130">
        <f t="shared" si="50"/>
        <v>1376.5114710743801</v>
      </c>
      <c r="L33" s="130">
        <f t="shared" si="50"/>
        <v>1511.9879793388429</v>
      </c>
      <c r="M33" s="130">
        <f t="shared" si="50"/>
        <v>1676.895520661157</v>
      </c>
      <c r="N33" s="130">
        <f t="shared" si="50"/>
        <v>1876.8624</v>
      </c>
      <c r="O33" s="98">
        <f t="shared" si="26"/>
        <v>7.7583128829976866E-2</v>
      </c>
      <c r="P33" s="132"/>
      <c r="Q33" s="77" t="s">
        <v>51</v>
      </c>
      <c r="R33" s="133">
        <f t="shared" si="37"/>
        <v>2.1281013963785567</v>
      </c>
      <c r="S33" s="133">
        <f t="shared" si="41"/>
        <v>2.7926285900768955</v>
      </c>
      <c r="T33" s="133">
        <f t="shared" si="42"/>
        <v>3.4052549261157861</v>
      </c>
      <c r="U33" s="133">
        <f t="shared" si="43"/>
        <v>4.6263865487907285</v>
      </c>
      <c r="V33" s="133">
        <f t="shared" si="44"/>
        <v>5.3747339061013033</v>
      </c>
      <c r="W33" s="133">
        <f t="shared" si="45"/>
        <v>6.0034017964368136</v>
      </c>
      <c r="X33" s="133">
        <f t="shared" si="46"/>
        <v>7.3703345627206263</v>
      </c>
      <c r="Y33" s="133">
        <f t="shared" si="47"/>
        <v>8.7173291667228092</v>
      </c>
      <c r="Z33" s="133">
        <f t="shared" si="48"/>
        <v>9.8420181096436679</v>
      </c>
      <c r="AA33" s="133">
        <f t="shared" si="49"/>
        <v>10.906670130699347</v>
      </c>
      <c r="AB33" s="133">
        <f t="shared" si="28"/>
        <v>11.924826375587273</v>
      </c>
      <c r="AC33" s="74">
        <v>0.02</v>
      </c>
      <c r="AD33" s="77" t="s">
        <v>51</v>
      </c>
      <c r="AE33" s="155">
        <v>0.16250000000000001</v>
      </c>
      <c r="AF33" s="155">
        <v>0.16227272727272726</v>
      </c>
      <c r="AG33" s="155">
        <v>0.16204545454545455</v>
      </c>
      <c r="AH33" s="155">
        <v>0.16181818181818181</v>
      </c>
      <c r="AI33" s="155">
        <v>0.16159090909090909</v>
      </c>
      <c r="AJ33" s="155">
        <v>0.16136363636363635</v>
      </c>
      <c r="AK33" s="155">
        <v>0.16113636363636363</v>
      </c>
      <c r="AL33" s="155">
        <v>0.16090909090909089</v>
      </c>
      <c r="AM33" s="155">
        <v>0.16068181818181818</v>
      </c>
      <c r="AN33" s="155">
        <v>0.16045454545454543</v>
      </c>
      <c r="AO33" s="155">
        <v>0.16022727272727272</v>
      </c>
      <c r="AP33" s="155">
        <v>0.16</v>
      </c>
      <c r="AQ33" s="136"/>
      <c r="AR33" s="136"/>
    </row>
    <row r="34" spans="2:44" x14ac:dyDescent="0.2">
      <c r="B34" s="9" t="s">
        <v>52</v>
      </c>
      <c r="C34" s="21">
        <f>C29*AE34</f>
        <v>337.47999999999996</v>
      </c>
      <c r="D34" s="21">
        <f t="shared" ref="D34:N34" si="51">D29*AF34</f>
        <v>345.94235123966939</v>
      </c>
      <c r="E34" s="21">
        <f t="shared" si="51"/>
        <v>356.92312066115704</v>
      </c>
      <c r="F34" s="21">
        <f t="shared" si="51"/>
        <v>370.44592644628091</v>
      </c>
      <c r="G34" s="21">
        <f t="shared" si="51"/>
        <v>389.0201983471074</v>
      </c>
      <c r="H34" s="21">
        <f t="shared" si="51"/>
        <v>411.44645454545457</v>
      </c>
      <c r="I34" s="21">
        <f t="shared" si="51"/>
        <v>437.76033057851242</v>
      </c>
      <c r="J34" s="21">
        <f t="shared" si="51"/>
        <v>471.76160661157024</v>
      </c>
      <c r="K34" s="21">
        <f t="shared" si="51"/>
        <v>514.78024462809913</v>
      </c>
      <c r="L34" s="21">
        <f t="shared" si="51"/>
        <v>567.53089876033062</v>
      </c>
      <c r="M34" s="21">
        <f t="shared" si="51"/>
        <v>631.74957487603308</v>
      </c>
      <c r="N34" s="21">
        <f t="shared" si="51"/>
        <v>709.68859499999996</v>
      </c>
      <c r="O34" s="19">
        <f t="shared" si="26"/>
        <v>8.0990983816981776E-2</v>
      </c>
      <c r="Q34" s="9" t="s">
        <v>52</v>
      </c>
      <c r="R34" s="30">
        <f t="shared" si="37"/>
        <v>2.5075119235715926</v>
      </c>
      <c r="S34" s="30">
        <f t="shared" si="41"/>
        <v>3.1741616434468156</v>
      </c>
      <c r="T34" s="30">
        <f t="shared" si="42"/>
        <v>3.788716673796455</v>
      </c>
      <c r="U34" s="30">
        <f t="shared" si="43"/>
        <v>5.0140305439476895</v>
      </c>
      <c r="V34" s="30">
        <f t="shared" si="44"/>
        <v>5.7648050907467496</v>
      </c>
      <c r="W34" s="30">
        <f t="shared" si="45"/>
        <v>6.3954557737356366</v>
      </c>
      <c r="X34" s="30">
        <f t="shared" si="46"/>
        <v>7.7670984915705343</v>
      </c>
      <c r="Y34" s="30">
        <f t="shared" si="47"/>
        <v>9.1187238244142996</v>
      </c>
      <c r="Z34" s="30">
        <f t="shared" si="48"/>
        <v>10.247218047448769</v>
      </c>
      <c r="AA34" s="30">
        <f t="shared" si="49"/>
        <v>11.315450181827401</v>
      </c>
      <c r="AB34" s="30">
        <f t="shared" si="28"/>
        <v>12.337011883112181</v>
      </c>
      <c r="AC34" s="25">
        <v>0.08</v>
      </c>
      <c r="AD34" s="9" t="s">
        <v>52</v>
      </c>
      <c r="AE34" s="156">
        <v>5.8999999999999997E-2</v>
      </c>
      <c r="AF34" s="156">
        <v>5.9136363636363633E-2</v>
      </c>
      <c r="AG34" s="156">
        <v>5.9272727272727269E-2</v>
      </c>
      <c r="AH34" s="156">
        <v>5.9409090909090904E-2</v>
      </c>
      <c r="AI34" s="156">
        <v>5.954545454545454E-2</v>
      </c>
      <c r="AJ34" s="156">
        <v>5.9681818181818183E-2</v>
      </c>
      <c r="AK34" s="156">
        <v>5.9818181818181819E-2</v>
      </c>
      <c r="AL34" s="156">
        <v>5.9954545454545455E-2</v>
      </c>
      <c r="AM34" s="156">
        <v>6.0090909090909091E-2</v>
      </c>
      <c r="AN34" s="156">
        <v>6.0227272727272727E-2</v>
      </c>
      <c r="AO34" s="156">
        <v>6.0363636363636362E-2</v>
      </c>
      <c r="AP34" s="156">
        <v>6.0499999999999998E-2</v>
      </c>
    </row>
    <row r="35" spans="2:44" x14ac:dyDescent="0.2">
      <c r="B35" s="9" t="s">
        <v>53</v>
      </c>
      <c r="C35" s="21">
        <f>C29*AE35</f>
        <v>286</v>
      </c>
      <c r="D35" s="21">
        <f t="shared" ref="D35:N35" si="52">D29*AF35</f>
        <v>292.97408347107438</v>
      </c>
      <c r="E35" s="21">
        <f t="shared" si="52"/>
        <v>302.07082512396693</v>
      </c>
      <c r="F35" s="21">
        <f t="shared" si="52"/>
        <v>313.3059885950413</v>
      </c>
      <c r="G35" s="21">
        <f t="shared" si="52"/>
        <v>328.79630809917353</v>
      </c>
      <c r="H35" s="21">
        <f t="shared" si="52"/>
        <v>347.52027272727275</v>
      </c>
      <c r="I35" s="21">
        <f t="shared" si="52"/>
        <v>369.50165289256205</v>
      </c>
      <c r="J35" s="21">
        <f t="shared" si="52"/>
        <v>397.93932033057854</v>
      </c>
      <c r="K35" s="21">
        <f t="shared" si="52"/>
        <v>433.9418340495867</v>
      </c>
      <c r="L35" s="21">
        <f t="shared" si="52"/>
        <v>478.09659561983477</v>
      </c>
      <c r="M35" s="21">
        <f t="shared" si="52"/>
        <v>531.84941619834717</v>
      </c>
      <c r="N35" s="21">
        <f t="shared" si="52"/>
        <v>597.07685100000003</v>
      </c>
      <c r="O35" s="19">
        <f t="shared" si="26"/>
        <v>8.0385095384416516E-2</v>
      </c>
      <c r="Q35" s="9" t="s">
        <v>53</v>
      </c>
      <c r="R35" s="30">
        <f t="shared" si="37"/>
        <v>2.4384907241518761</v>
      </c>
      <c r="S35" s="30">
        <f t="shared" si="41"/>
        <v>3.1049646252381491</v>
      </c>
      <c r="T35" s="30">
        <f t="shared" si="42"/>
        <v>3.71938053483436</v>
      </c>
      <c r="U35" s="30">
        <f t="shared" si="43"/>
        <v>4.9441504688740645</v>
      </c>
      <c r="V35" s="30">
        <f t="shared" si="44"/>
        <v>5.6947003864932677</v>
      </c>
      <c r="W35" s="30">
        <f t="shared" si="45"/>
        <v>6.3252080210410844</v>
      </c>
      <c r="X35" s="30">
        <f t="shared" si="46"/>
        <v>7.6962219831490541</v>
      </c>
      <c r="Y35" s="30">
        <f t="shared" si="47"/>
        <v>9.0472370735065653</v>
      </c>
      <c r="Z35" s="30">
        <f t="shared" si="48"/>
        <v>10.175271915637074</v>
      </c>
      <c r="AA35" s="30">
        <f t="shared" si="49"/>
        <v>11.24308791800197</v>
      </c>
      <c r="AB35" s="30">
        <f t="shared" si="28"/>
        <v>12.26426744395015</v>
      </c>
      <c r="AC35" s="25">
        <v>0.09</v>
      </c>
      <c r="AD35" s="9" t="s">
        <v>53</v>
      </c>
      <c r="AE35" s="156">
        <v>0.05</v>
      </c>
      <c r="AF35" s="156">
        <v>5.0081818181818186E-2</v>
      </c>
      <c r="AG35" s="156">
        <v>5.0163636363636362E-2</v>
      </c>
      <c r="AH35" s="156">
        <v>5.0245454545454545E-2</v>
      </c>
      <c r="AI35" s="156">
        <v>5.0327272727272727E-2</v>
      </c>
      <c r="AJ35" s="156">
        <v>5.040909090909091E-2</v>
      </c>
      <c r="AK35" s="156">
        <v>5.0490909090909093E-2</v>
      </c>
      <c r="AL35" s="156">
        <v>5.0572727272727276E-2</v>
      </c>
      <c r="AM35" s="156">
        <v>5.0654545454545452E-2</v>
      </c>
      <c r="AN35" s="156">
        <v>5.0736363636363635E-2</v>
      </c>
      <c r="AO35" s="156">
        <v>5.0818181818181818E-2</v>
      </c>
      <c r="AP35" s="156">
        <v>5.0900000000000001E-2</v>
      </c>
    </row>
    <row r="36" spans="2:44" x14ac:dyDescent="0.2">
      <c r="B36" s="9" t="s">
        <v>7</v>
      </c>
      <c r="C36" s="21">
        <f>C29*AE36</f>
        <v>400.40000000000003</v>
      </c>
      <c r="D36" s="21">
        <f t="shared" ref="D36:N36" si="53">D29*AF36</f>
        <v>409.81272231404967</v>
      </c>
      <c r="E36" s="21">
        <f t="shared" si="53"/>
        <v>422.17655008264467</v>
      </c>
      <c r="F36" s="21">
        <f t="shared" si="53"/>
        <v>437.50599239669424</v>
      </c>
      <c r="G36" s="21">
        <f t="shared" si="53"/>
        <v>458.74687206611571</v>
      </c>
      <c r="H36" s="21">
        <f t="shared" si="53"/>
        <v>484.46018181818187</v>
      </c>
      <c r="I36" s="21">
        <f t="shared" si="53"/>
        <v>514.66776859504137</v>
      </c>
      <c r="J36" s="21">
        <f t="shared" si="53"/>
        <v>553.810213553719</v>
      </c>
      <c r="K36" s="21">
        <f t="shared" si="53"/>
        <v>603.40655603305777</v>
      </c>
      <c r="L36" s="21">
        <f t="shared" si="53"/>
        <v>664.24673041322319</v>
      </c>
      <c r="M36" s="21">
        <f t="shared" si="53"/>
        <v>738.30974413223134</v>
      </c>
      <c r="N36" s="21">
        <f t="shared" si="53"/>
        <v>828.16553399999975</v>
      </c>
      <c r="O36" s="19">
        <f t="shared" si="26"/>
        <v>7.9606723720076378E-2</v>
      </c>
      <c r="Q36" s="9" t="s">
        <v>7</v>
      </c>
      <c r="R36" s="30">
        <f t="shared" si="37"/>
        <v>2.3508297487636387</v>
      </c>
      <c r="S36" s="30">
        <f t="shared" si="41"/>
        <v>3.0169458133904037</v>
      </c>
      <c r="T36" s="30">
        <f t="shared" si="42"/>
        <v>3.6310501639772896</v>
      </c>
      <c r="U36" s="30">
        <f t="shared" si="43"/>
        <v>4.8549917117848285</v>
      </c>
      <c r="V36" s="30">
        <f t="shared" si="44"/>
        <v>5.6051193627234763</v>
      </c>
      <c r="W36" s="30">
        <f t="shared" si="45"/>
        <v>6.2353084754025012</v>
      </c>
      <c r="X36" s="30">
        <f t="shared" si="46"/>
        <v>7.6053810530101851</v>
      </c>
      <c r="Y36" s="30">
        <f t="shared" si="47"/>
        <v>8.9554763103927506</v>
      </c>
      <c r="Z36" s="30">
        <f t="shared" si="48"/>
        <v>10.082783120578531</v>
      </c>
      <c r="AA36" s="30">
        <f t="shared" si="49"/>
        <v>11.149925220246715</v>
      </c>
      <c r="AB36" s="30">
        <f t="shared" si="28"/>
        <v>12.170473244042036</v>
      </c>
      <c r="AC36" s="25">
        <v>7.0000000000000007E-2</v>
      </c>
      <c r="AD36" s="9" t="s">
        <v>7</v>
      </c>
      <c r="AE36" s="156">
        <v>7.0000000000000007E-2</v>
      </c>
      <c r="AF36" s="156">
        <v>7.0054545454545467E-2</v>
      </c>
      <c r="AG36" s="156">
        <v>7.0109090909090913E-2</v>
      </c>
      <c r="AH36" s="156">
        <v>7.0163636363636372E-2</v>
      </c>
      <c r="AI36" s="156">
        <v>7.0218181818181818E-2</v>
      </c>
      <c r="AJ36" s="156">
        <v>7.0272727272727278E-2</v>
      </c>
      <c r="AK36" s="156">
        <v>7.0327272727272724E-2</v>
      </c>
      <c r="AL36" s="156">
        <v>7.0381818181818184E-2</v>
      </c>
      <c r="AM36" s="156">
        <v>7.043636363636363E-2</v>
      </c>
      <c r="AN36" s="156">
        <v>7.049090909090909E-2</v>
      </c>
      <c r="AO36" s="156">
        <v>7.0545454545454536E-2</v>
      </c>
      <c r="AP36" s="156">
        <v>7.0599999999999982E-2</v>
      </c>
    </row>
    <row r="37" spans="2:44" x14ac:dyDescent="0.2">
      <c r="B37" s="9" t="s">
        <v>6</v>
      </c>
      <c r="C37" s="21">
        <f>C29*AE37</f>
        <v>514.79999999999995</v>
      </c>
      <c r="D37" s="21">
        <f t="shared" ref="D37:N37" si="54">D29*AF37</f>
        <v>527.23635206611573</v>
      </c>
      <c r="E37" s="21">
        <f t="shared" si="54"/>
        <v>543.48661685950412</v>
      </c>
      <c r="F37" s="21">
        <f t="shared" si="54"/>
        <v>563.57664892561979</v>
      </c>
      <c r="G37" s="21">
        <f t="shared" si="54"/>
        <v>591.31070148760318</v>
      </c>
      <c r="H37" s="21">
        <f t="shared" si="54"/>
        <v>624.84709090909098</v>
      </c>
      <c r="I37" s="21">
        <f t="shared" si="54"/>
        <v>664.22479338842982</v>
      </c>
      <c r="J37" s="21">
        <f t="shared" si="54"/>
        <v>715.18916495867768</v>
      </c>
      <c r="K37" s="21">
        <f t="shared" si="54"/>
        <v>779.72463074380164</v>
      </c>
      <c r="L37" s="21">
        <f t="shared" si="54"/>
        <v>858.87770429752072</v>
      </c>
      <c r="M37" s="21">
        <f t="shared" si="54"/>
        <v>955.23580297520664</v>
      </c>
      <c r="N37" s="21">
        <f t="shared" si="54"/>
        <v>1072.1576459999999</v>
      </c>
      <c r="O37" s="19">
        <f t="shared" si="26"/>
        <v>8.0184253755416268E-2</v>
      </c>
      <c r="Q37" s="9" t="s">
        <v>6</v>
      </c>
      <c r="R37" s="30">
        <f t="shared" si="37"/>
        <v>2.4157638046067964</v>
      </c>
      <c r="S37" s="30">
        <f t="shared" si="41"/>
        <v>3.0821594015107978</v>
      </c>
      <c r="T37" s="30">
        <f t="shared" si="42"/>
        <v>3.6965090662589573</v>
      </c>
      <c r="U37" s="30">
        <f t="shared" si="43"/>
        <v>4.9210790785697789</v>
      </c>
      <c r="V37" s="30">
        <f t="shared" si="44"/>
        <v>5.6715343282504271</v>
      </c>
      <c r="W37" s="30">
        <f t="shared" si="45"/>
        <v>6.3019742033283865</v>
      </c>
      <c r="X37" s="30">
        <f t="shared" si="46"/>
        <v>7.6727595954769745</v>
      </c>
      <c r="Y37" s="30">
        <f t="shared" si="47"/>
        <v>9.0235519422127588</v>
      </c>
      <c r="Z37" s="30">
        <f t="shared" si="48"/>
        <v>10.151413772604911</v>
      </c>
      <c r="AA37" s="30">
        <f t="shared" si="49"/>
        <v>11.219070910275587</v>
      </c>
      <c r="AB37" s="30">
        <f t="shared" si="28"/>
        <v>12.24010267000304</v>
      </c>
      <c r="AC37" s="25">
        <v>0.06</v>
      </c>
      <c r="AD37" s="9" t="s">
        <v>6</v>
      </c>
      <c r="AE37" s="156">
        <v>0.09</v>
      </c>
      <c r="AF37" s="156">
        <v>9.0127272727272723E-2</v>
      </c>
      <c r="AG37" s="156">
        <v>9.0254545454545448E-2</v>
      </c>
      <c r="AH37" s="156">
        <v>9.0381818181818174E-2</v>
      </c>
      <c r="AI37" s="156">
        <v>9.05090909090909E-2</v>
      </c>
      <c r="AJ37" s="156">
        <v>9.063636363636364E-2</v>
      </c>
      <c r="AK37" s="156">
        <v>9.0763636363636366E-2</v>
      </c>
      <c r="AL37" s="156">
        <v>9.0890909090909092E-2</v>
      </c>
      <c r="AM37" s="156">
        <v>9.1018181818181818E-2</v>
      </c>
      <c r="AN37" s="156">
        <v>9.1145454545454543E-2</v>
      </c>
      <c r="AO37" s="156">
        <v>9.1272727272727269E-2</v>
      </c>
      <c r="AP37" s="156">
        <v>9.1399999999999995E-2</v>
      </c>
    </row>
    <row r="38" spans="2:44" x14ac:dyDescent="0.2">
      <c r="B38" s="8" t="s">
        <v>55</v>
      </c>
      <c r="C38" s="21">
        <f>C29*AE38</f>
        <v>657.8</v>
      </c>
      <c r="D38" s="21">
        <f t="shared" ref="D38:N38" si="55">D29*AF38</f>
        <v>673.96270826446278</v>
      </c>
      <c r="E38" s="21">
        <f t="shared" si="55"/>
        <v>695.01471471074376</v>
      </c>
      <c r="F38" s="21">
        <f t="shared" si="55"/>
        <v>720.99491024793372</v>
      </c>
      <c r="G38" s="21">
        <f t="shared" si="55"/>
        <v>756.77791867768588</v>
      </c>
      <c r="H38" s="21">
        <f t="shared" si="55"/>
        <v>800.01736363636371</v>
      </c>
      <c r="I38" s="21">
        <f t="shared" si="55"/>
        <v>850.77190082644643</v>
      </c>
      <c r="J38" s="21">
        <f t="shared" si="55"/>
        <v>916.41212165289267</v>
      </c>
      <c r="K38" s="21">
        <f t="shared" si="55"/>
        <v>999.4991920661156</v>
      </c>
      <c r="L38" s="21">
        <f t="shared" si="55"/>
        <v>1101.3954362809918</v>
      </c>
      <c r="M38" s="21">
        <f t="shared" si="55"/>
        <v>1225.441946446281</v>
      </c>
      <c r="N38" s="21">
        <f t="shared" si="55"/>
        <v>1375.974747</v>
      </c>
      <c r="O38" s="19">
        <f t="shared" si="26"/>
        <v>8.0548925394765991E-2</v>
      </c>
      <c r="Q38" s="8" t="s">
        <v>55</v>
      </c>
      <c r="R38" s="30">
        <f t="shared" si="37"/>
        <v>2.4570854765069594</v>
      </c>
      <c r="S38" s="30">
        <f t="shared" si="41"/>
        <v>3.1236159194167445</v>
      </c>
      <c r="T38" s="30">
        <f t="shared" si="42"/>
        <v>3.7380784877342643</v>
      </c>
      <c r="U38" s="30">
        <f t="shared" si="43"/>
        <v>4.9630043043503935</v>
      </c>
      <c r="V38" s="30">
        <f t="shared" si="44"/>
        <v>5.713624022517716</v>
      </c>
      <c r="W38" s="30">
        <f t="shared" si="45"/>
        <v>6.3441794512290706</v>
      </c>
      <c r="X38" s="30">
        <f t="shared" si="46"/>
        <v>7.7153724473836949</v>
      </c>
      <c r="Y38" s="30">
        <f t="shared" si="47"/>
        <v>9.066561697521248</v>
      </c>
      <c r="Z38" s="30">
        <f t="shared" si="48"/>
        <v>10.194730023167043</v>
      </c>
      <c r="AA38" s="30">
        <f t="shared" si="49"/>
        <v>11.26266789193795</v>
      </c>
      <c r="AB38" s="30">
        <f t="shared" si="28"/>
        <v>12.283960165575891</v>
      </c>
      <c r="AC38" s="25">
        <v>0.05</v>
      </c>
      <c r="AD38" s="8" t="s">
        <v>55</v>
      </c>
      <c r="AE38" s="156">
        <v>0.11499999999999999</v>
      </c>
      <c r="AF38" s="156">
        <v>0.1152090909090909</v>
      </c>
      <c r="AG38" s="156">
        <v>0.11541818181818181</v>
      </c>
      <c r="AH38" s="156">
        <v>0.11562727272727272</v>
      </c>
      <c r="AI38" s="156">
        <v>0.11583636363636363</v>
      </c>
      <c r="AJ38" s="156">
        <v>0.11604545454545455</v>
      </c>
      <c r="AK38" s="156">
        <v>0.11625454545454546</v>
      </c>
      <c r="AL38" s="156">
        <v>0.11646363636363637</v>
      </c>
      <c r="AM38" s="156">
        <v>0.11667272727272728</v>
      </c>
      <c r="AN38" s="156">
        <v>0.11688181818181818</v>
      </c>
      <c r="AO38" s="156">
        <v>0.11709090909090909</v>
      </c>
      <c r="AP38" s="156">
        <v>0.1173</v>
      </c>
    </row>
    <row r="39" spans="2:44" x14ac:dyDescent="0.2">
      <c r="B39" s="66"/>
      <c r="C39" s="66"/>
      <c r="O39" s="6"/>
      <c r="AC39" s="25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2:44" x14ac:dyDescent="0.2">
      <c r="B40" s="66"/>
      <c r="C40" s="66"/>
    </row>
    <row r="42" spans="2:44" x14ac:dyDescent="0.2">
      <c r="AJ42" s="29">
        <v>2023</v>
      </c>
      <c r="AK42" s="29">
        <v>2030</v>
      </c>
    </row>
    <row r="43" spans="2:44" x14ac:dyDescent="0.2">
      <c r="AI43" s="2" t="str">
        <f>AD8</f>
        <v>Flexible Electronics</v>
      </c>
      <c r="AJ43" s="33">
        <f>AI8</f>
        <v>0.5449090909090909</v>
      </c>
      <c r="AK43" s="33">
        <f>AP8</f>
        <v>0.54299999999999993</v>
      </c>
    </row>
    <row r="44" spans="2:44" x14ac:dyDescent="0.2">
      <c r="AI44" s="5" t="str">
        <f>AD13</f>
        <v>Flexible Circuit</v>
      </c>
      <c r="AJ44" s="33">
        <f>AI13</f>
        <v>0.4550909090909091</v>
      </c>
      <c r="AK44" s="33">
        <f>AO13</f>
        <v>0.45672727272727276</v>
      </c>
    </row>
    <row r="45" spans="2:44" x14ac:dyDescent="0.2">
      <c r="AI45" s="5"/>
      <c r="AJ45" s="33"/>
      <c r="AK45" s="33"/>
    </row>
    <row r="46" spans="2:44" x14ac:dyDescent="0.2">
      <c r="AI46" s="5"/>
      <c r="AJ46" s="33"/>
      <c r="AK46" s="33"/>
    </row>
    <row r="47" spans="2:44" x14ac:dyDescent="0.2">
      <c r="B47" s="8"/>
      <c r="C47" s="8"/>
      <c r="D47" s="66"/>
      <c r="AI47" s="5"/>
      <c r="AJ47" s="33"/>
      <c r="AK47" s="33"/>
    </row>
    <row r="48" spans="2:44" x14ac:dyDescent="0.2">
      <c r="B48" s="8"/>
      <c r="C48" s="8"/>
      <c r="D48" s="66"/>
      <c r="AI48" s="5"/>
      <c r="AJ48" s="33"/>
      <c r="AK48" s="33"/>
    </row>
    <row r="49" spans="2:37" x14ac:dyDescent="0.2">
      <c r="B49" s="8"/>
      <c r="C49" s="8"/>
      <c r="AI49" s="5"/>
      <c r="AJ49" s="33"/>
      <c r="AK49" s="33"/>
    </row>
    <row r="50" spans="2:37" x14ac:dyDescent="0.2">
      <c r="B50" s="8"/>
      <c r="C50" s="8"/>
      <c r="AI50" s="5"/>
      <c r="AJ50" s="33"/>
      <c r="AK50" s="33"/>
    </row>
    <row r="51" spans="2:37" x14ac:dyDescent="0.2">
      <c r="B51" s="8"/>
      <c r="C51" s="8"/>
      <c r="AI51" s="5"/>
      <c r="AJ51" s="33"/>
      <c r="AK51" s="33"/>
    </row>
    <row r="52" spans="2:37" x14ac:dyDescent="0.2">
      <c r="AJ52" s="4"/>
      <c r="AK52" s="4"/>
    </row>
    <row r="53" spans="2:37" x14ac:dyDescent="0.2">
      <c r="B53" s="8"/>
      <c r="C53" s="8"/>
      <c r="D53" s="66"/>
    </row>
    <row r="54" spans="2:37" x14ac:dyDescent="0.2">
      <c r="B54" s="8"/>
      <c r="C54" s="8"/>
      <c r="D54" s="66"/>
    </row>
    <row r="55" spans="2:37" x14ac:dyDescent="0.2">
      <c r="B55" s="8"/>
      <c r="C55" s="8"/>
      <c r="D55" s="66"/>
    </row>
    <row r="56" spans="2:37" x14ac:dyDescent="0.2">
      <c r="B56" s="8"/>
      <c r="C56" s="8"/>
      <c r="D56" s="66"/>
    </row>
    <row r="59" spans="2:37" x14ac:dyDescent="0.2">
      <c r="B59" s="8"/>
      <c r="C59" s="8"/>
      <c r="D59" s="66"/>
    </row>
    <row r="60" spans="2:37" x14ac:dyDescent="0.2">
      <c r="B60" s="8"/>
      <c r="C60" s="8"/>
      <c r="D60" s="66"/>
    </row>
    <row r="61" spans="2:37" x14ac:dyDescent="0.2">
      <c r="B61" s="8"/>
      <c r="C61" s="8"/>
    </row>
    <row r="62" spans="2:37" x14ac:dyDescent="0.2">
      <c r="B62" s="8"/>
      <c r="C62" s="8"/>
    </row>
    <row r="63" spans="2:37" x14ac:dyDescent="0.2">
      <c r="B63" s="8"/>
      <c r="C63" s="8"/>
    </row>
    <row r="64" spans="2:37" x14ac:dyDescent="0.2">
      <c r="B64" s="8"/>
      <c r="C64" s="8"/>
    </row>
    <row r="65" spans="5:37" x14ac:dyDescent="0.2">
      <c r="AI65" s="4"/>
      <c r="AJ65" s="29">
        <v>2023</v>
      </c>
      <c r="AK65" s="29">
        <v>2030</v>
      </c>
    </row>
    <row r="66" spans="5:37" x14ac:dyDescent="0.2">
      <c r="AI66" s="2" t="str">
        <f t="shared" ref="AI66:AI72" si="56">AD21</f>
        <v>Automotive</v>
      </c>
      <c r="AJ66" s="33">
        <f t="shared" ref="AJ66:AJ72" si="57">AI21</f>
        <v>0.16681818181818181</v>
      </c>
      <c r="AK66" s="33">
        <f t="shared" ref="AK66:AK72" si="58">AP21</f>
        <v>0.16719999999999999</v>
      </c>
    </row>
    <row r="67" spans="5:37" x14ac:dyDescent="0.2">
      <c r="AI67" s="2" t="str">
        <f t="shared" si="56"/>
        <v>Military, Defense and Aerospace</v>
      </c>
      <c r="AJ67" s="33">
        <f t="shared" si="57"/>
        <v>0.12605454545454545</v>
      </c>
      <c r="AK67" s="33">
        <f t="shared" si="58"/>
        <v>0.1265</v>
      </c>
    </row>
    <row r="68" spans="5:37" x14ac:dyDescent="0.2">
      <c r="AI68" s="2" t="str">
        <f t="shared" si="56"/>
        <v>Consumer Electronics</v>
      </c>
      <c r="AJ68" s="33">
        <f t="shared" si="57"/>
        <v>0.24321818181818181</v>
      </c>
      <c r="AK68" s="33">
        <f t="shared" si="58"/>
        <v>0.24079999999999999</v>
      </c>
    </row>
    <row r="69" spans="5:37" x14ac:dyDescent="0.2">
      <c r="AI69" s="2" t="str">
        <f t="shared" si="56"/>
        <v>Industrial</v>
      </c>
      <c r="AJ69" s="33">
        <f t="shared" si="57"/>
        <v>0.1158</v>
      </c>
      <c r="AK69" s="33">
        <f t="shared" si="58"/>
        <v>0.11650000000000001</v>
      </c>
    </row>
    <row r="70" spans="5:37" x14ac:dyDescent="0.2">
      <c r="AI70" s="2" t="str">
        <f t="shared" si="56"/>
        <v>Healthcare and Medical</v>
      </c>
      <c r="AJ70" s="33">
        <f t="shared" si="57"/>
        <v>0.1808909090909091</v>
      </c>
      <c r="AK70" s="33">
        <f t="shared" si="58"/>
        <v>0.18</v>
      </c>
    </row>
    <row r="71" spans="5:37" x14ac:dyDescent="0.2">
      <c r="AI71" s="2" t="str">
        <f t="shared" si="56"/>
        <v>Energy and Power</v>
      </c>
      <c r="AJ71" s="33">
        <f t="shared" si="57"/>
        <v>9.9172727272727274E-2</v>
      </c>
      <c r="AK71" s="33">
        <f t="shared" si="58"/>
        <v>0.1</v>
      </c>
    </row>
    <row r="72" spans="5:37" x14ac:dyDescent="0.2">
      <c r="AI72" s="2" t="str">
        <f t="shared" si="56"/>
        <v>Others</v>
      </c>
      <c r="AJ72" s="33">
        <f t="shared" si="57"/>
        <v>6.8045454545454548E-2</v>
      </c>
      <c r="AK72" s="33">
        <f t="shared" si="58"/>
        <v>6.9000000000000006E-2</v>
      </c>
    </row>
    <row r="78" spans="5:37" x14ac:dyDescent="0.2"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5:37" x14ac:dyDescent="0.2">
      <c r="F79" s="67"/>
      <c r="G79" s="67"/>
      <c r="H79" s="67"/>
      <c r="I79" s="67"/>
      <c r="J79" s="67"/>
      <c r="K79" s="67"/>
      <c r="L79" s="67"/>
      <c r="M79" s="67"/>
      <c r="N79" s="67"/>
    </row>
    <row r="81" spans="5:37" x14ac:dyDescent="0.2">
      <c r="E81" s="48"/>
      <c r="AJ81" s="29">
        <v>2023</v>
      </c>
      <c r="AK81" s="29">
        <v>2030</v>
      </c>
    </row>
    <row r="82" spans="5:37" x14ac:dyDescent="0.2">
      <c r="E82" s="48"/>
      <c r="F82" s="67"/>
      <c r="AI82" s="8" t="str">
        <f t="shared" ref="AI82:AI90" si="59">AD30</f>
        <v>China</v>
      </c>
      <c r="AJ82" s="33">
        <f t="shared" ref="AJ82:AJ90" si="60">AI30</f>
        <v>0.16806363636363639</v>
      </c>
      <c r="AK82" s="33">
        <f t="shared" ref="AK82:AK90" si="61">AP30</f>
        <v>0.1638</v>
      </c>
    </row>
    <row r="83" spans="5:37" x14ac:dyDescent="0.2">
      <c r="E83" s="48"/>
      <c r="F83" s="67"/>
      <c r="AI83" s="8" t="str">
        <f t="shared" si="59"/>
        <v>India</v>
      </c>
      <c r="AJ83" s="33">
        <f t="shared" si="60"/>
        <v>0.13372727272727275</v>
      </c>
      <c r="AK83" s="33">
        <f t="shared" si="61"/>
        <v>0.13500000000000001</v>
      </c>
    </row>
    <row r="84" spans="5:37" x14ac:dyDescent="0.2">
      <c r="E84" s="48"/>
      <c r="F84" s="67"/>
      <c r="AI84" s="8" t="str">
        <f t="shared" si="59"/>
        <v>South Korea</v>
      </c>
      <c r="AJ84" s="33">
        <f t="shared" si="60"/>
        <v>0.15018181818181817</v>
      </c>
      <c r="AK84" s="33">
        <f t="shared" si="61"/>
        <v>0.15049999999999999</v>
      </c>
    </row>
    <row r="85" spans="5:37" x14ac:dyDescent="0.2">
      <c r="E85" s="48"/>
      <c r="F85" s="67"/>
      <c r="AI85" s="8" t="str">
        <f t="shared" si="59"/>
        <v>Japan</v>
      </c>
      <c r="AJ85" s="33">
        <f t="shared" si="60"/>
        <v>0.16159090909090909</v>
      </c>
      <c r="AK85" s="33">
        <f t="shared" si="61"/>
        <v>0.16</v>
      </c>
    </row>
    <row r="86" spans="5:37" x14ac:dyDescent="0.2">
      <c r="E86" s="48"/>
      <c r="F86" s="67"/>
      <c r="AI86" s="8" t="str">
        <f t="shared" si="59"/>
        <v>Australia</v>
      </c>
      <c r="AJ86" s="33">
        <f t="shared" si="60"/>
        <v>5.954545454545454E-2</v>
      </c>
      <c r="AK86" s="33">
        <f t="shared" si="61"/>
        <v>6.0499999999999998E-2</v>
      </c>
    </row>
    <row r="87" spans="5:37" x14ac:dyDescent="0.2">
      <c r="E87" s="48"/>
      <c r="F87" s="67"/>
      <c r="AI87" s="8" t="str">
        <f t="shared" si="59"/>
        <v>New Zealand</v>
      </c>
      <c r="AJ87" s="33">
        <f t="shared" si="60"/>
        <v>5.0327272727272727E-2</v>
      </c>
      <c r="AK87" s="33">
        <f t="shared" si="61"/>
        <v>5.0900000000000001E-2</v>
      </c>
    </row>
    <row r="88" spans="5:37" x14ac:dyDescent="0.2">
      <c r="E88" s="48"/>
      <c r="F88" s="67"/>
      <c r="AI88" s="8" t="str">
        <f t="shared" si="59"/>
        <v>Singapore</v>
      </c>
      <c r="AJ88" s="33">
        <f t="shared" si="60"/>
        <v>7.0218181818181818E-2</v>
      </c>
      <c r="AK88" s="33">
        <f t="shared" si="61"/>
        <v>7.0599999999999982E-2</v>
      </c>
    </row>
    <row r="89" spans="5:37" x14ac:dyDescent="0.2">
      <c r="E89" s="48"/>
      <c r="F89" s="67"/>
      <c r="AI89" s="8" t="str">
        <f t="shared" si="59"/>
        <v>Malaysia</v>
      </c>
      <c r="AJ89" s="33">
        <f t="shared" si="60"/>
        <v>9.05090909090909E-2</v>
      </c>
      <c r="AK89" s="33">
        <f t="shared" si="61"/>
        <v>9.1399999999999995E-2</v>
      </c>
    </row>
    <row r="90" spans="5:37" x14ac:dyDescent="0.2">
      <c r="E90" s="48"/>
      <c r="F90" s="67"/>
      <c r="AI90" s="8" t="str">
        <f t="shared" si="59"/>
        <v xml:space="preserve">Rest of Asia Pacific </v>
      </c>
      <c r="AJ90" s="33">
        <f t="shared" si="60"/>
        <v>0.11583636363636363</v>
      </c>
      <c r="AK90" s="33">
        <f t="shared" si="61"/>
        <v>0.1173</v>
      </c>
    </row>
    <row r="91" spans="5:37" x14ac:dyDescent="0.2">
      <c r="AI91" s="8"/>
      <c r="AJ91" s="4"/>
      <c r="AK91" s="4"/>
    </row>
    <row r="92" spans="5:37" x14ac:dyDescent="0.2">
      <c r="AI92" s="8"/>
      <c r="AJ92" s="4"/>
      <c r="AK92" s="4"/>
    </row>
    <row r="93" spans="5:37" x14ac:dyDescent="0.2">
      <c r="AI93" s="8"/>
      <c r="AJ93" s="4"/>
      <c r="AK93" s="4"/>
    </row>
    <row r="94" spans="5:37" x14ac:dyDescent="0.2">
      <c r="AI94" s="8"/>
      <c r="AJ94" s="4"/>
      <c r="AK94" s="4"/>
    </row>
    <row r="95" spans="5:37" x14ac:dyDescent="0.2">
      <c r="AI95" s="8"/>
      <c r="AJ95" s="4"/>
      <c r="AK95" s="4"/>
    </row>
    <row r="96" spans="5:37" x14ac:dyDescent="0.2">
      <c r="AI96" s="8"/>
      <c r="AJ96" s="4"/>
      <c r="AK96" s="4"/>
    </row>
    <row r="97" spans="35:37" x14ac:dyDescent="0.2">
      <c r="AI97" s="8"/>
      <c r="AJ97" s="4"/>
      <c r="AK97" s="4"/>
    </row>
    <row r="104" spans="35:37" x14ac:dyDescent="0.2">
      <c r="AJ104" s="29"/>
      <c r="AK104" s="29"/>
    </row>
    <row r="105" spans="35:37" x14ac:dyDescent="0.2">
      <c r="AI105" s="8"/>
      <c r="AJ105" s="27"/>
      <c r="AK105" s="27"/>
    </row>
    <row r="106" spans="35:37" x14ac:dyDescent="0.2">
      <c r="AI106" s="8"/>
      <c r="AJ106" s="27"/>
      <c r="AK106" s="27"/>
    </row>
    <row r="107" spans="35:37" x14ac:dyDescent="0.2">
      <c r="AI107" s="8"/>
      <c r="AJ107" s="27"/>
      <c r="AK107" s="27"/>
    </row>
    <row r="108" spans="35:37" x14ac:dyDescent="0.2">
      <c r="AI108" s="8"/>
      <c r="AJ108" s="27"/>
      <c r="AK108" s="27"/>
    </row>
    <row r="109" spans="35:37" x14ac:dyDescent="0.2">
      <c r="AI109" s="9"/>
      <c r="AJ109" s="27"/>
      <c r="AK109" s="27"/>
    </row>
    <row r="110" spans="35:37" x14ac:dyDescent="0.2">
      <c r="AI110" s="9"/>
      <c r="AJ110" s="27"/>
      <c r="AK110" s="27"/>
    </row>
    <row r="111" spans="35:37" x14ac:dyDescent="0.2">
      <c r="AI111" s="9"/>
      <c r="AJ111" s="27"/>
      <c r="AK111" s="27"/>
    </row>
    <row r="112" spans="35:37" x14ac:dyDescent="0.2">
      <c r="AI112" s="9"/>
      <c r="AJ112" s="27"/>
      <c r="AK112" s="27"/>
    </row>
    <row r="113" spans="35:37" x14ac:dyDescent="0.2">
      <c r="AI113" s="8"/>
      <c r="AJ113" s="27"/>
      <c r="AK113" s="27"/>
    </row>
    <row r="119" spans="35:37" x14ac:dyDescent="0.2">
      <c r="AJ119" s="29"/>
      <c r="AK119" s="29"/>
    </row>
    <row r="120" spans="35:37" x14ac:dyDescent="0.2">
      <c r="AI120" s="8"/>
      <c r="AJ120" s="27"/>
      <c r="AK120" s="27"/>
    </row>
    <row r="121" spans="35:37" x14ac:dyDescent="0.2">
      <c r="AI121" s="8"/>
      <c r="AJ121" s="27"/>
      <c r="AK121" s="27"/>
    </row>
    <row r="122" spans="35:37" x14ac:dyDescent="0.2">
      <c r="AI122" s="8"/>
      <c r="AJ122" s="27"/>
      <c r="AK122" s="27"/>
    </row>
    <row r="123" spans="35:37" x14ac:dyDescent="0.2">
      <c r="AI123" s="8"/>
      <c r="AJ123" s="27"/>
      <c r="AK123" s="27"/>
    </row>
    <row r="124" spans="35:37" x14ac:dyDescent="0.2">
      <c r="AI124" s="8"/>
      <c r="AJ124" s="27"/>
      <c r="AK124" s="27"/>
    </row>
    <row r="125" spans="35:37" x14ac:dyDescent="0.2">
      <c r="AI125" s="9"/>
      <c r="AJ125" s="27"/>
      <c r="AK125" s="27"/>
    </row>
    <row r="126" spans="35:37" x14ac:dyDescent="0.2">
      <c r="AI126" s="9"/>
      <c r="AJ126" s="27"/>
      <c r="AK126" s="27"/>
    </row>
    <row r="127" spans="35:37" x14ac:dyDescent="0.2">
      <c r="AI127" s="8"/>
      <c r="AJ127" s="27"/>
      <c r="AK127" s="27"/>
    </row>
  </sheetData>
  <mergeCells count="6">
    <mergeCell ref="AF4:AP4"/>
    <mergeCell ref="B4:B6"/>
    <mergeCell ref="D4:M4"/>
    <mergeCell ref="Q4:Q6"/>
    <mergeCell ref="S4:AB4"/>
    <mergeCell ref="AD4:AD6"/>
  </mergeCells>
  <conditionalFormatting sqref="R8:AB19 R21:AB28 R30:AB38">
    <cfRule type="containsText" dxfId="5" priority="3" operator="containsText" text="volume or kilo">
      <formula>NOT(ISERROR(SEARCH("volume or kilo",R8)))</formula>
    </cfRule>
    <cfRule type="containsText" dxfId="4" priority="4" operator="containsText" text="volume">
      <formula>NOT(ISERROR(SEARCH("volume",R8)))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R128"/>
  <sheetViews>
    <sheetView tabSelected="1" topLeftCell="X1" zoomScale="90" zoomScaleNormal="90" workbookViewId="0">
      <selection activeCell="C18" sqref="C18"/>
    </sheetView>
  </sheetViews>
  <sheetFormatPr baseColWidth="10" defaultColWidth="15.83203125" defaultRowHeight="15" x14ac:dyDescent="0.2"/>
  <cols>
    <col min="1" max="1" width="10.6640625" style="9" customWidth="1"/>
    <col min="2" max="2" width="26.33203125" style="9" customWidth="1"/>
    <col min="3" max="3" width="11.6640625" style="9" customWidth="1"/>
    <col min="4" max="4" width="11.5" style="9" bestFit="1" customWidth="1"/>
    <col min="5" max="6" width="11.33203125" style="9" customWidth="1"/>
    <col min="7" max="7" width="10.83203125" style="9" customWidth="1"/>
    <col min="8" max="12" width="11.33203125" style="9" bestFit="1" customWidth="1"/>
    <col min="13" max="13" width="12.6640625" style="9" customWidth="1"/>
    <col min="14" max="14" width="11.5" style="9" customWidth="1"/>
    <col min="15" max="16" width="15.83203125" style="9"/>
    <col min="17" max="17" width="22" style="9" customWidth="1"/>
    <col min="18" max="20" width="16" style="12" bestFit="1" customWidth="1"/>
    <col min="21" max="22" width="14.5" style="12" customWidth="1"/>
    <col min="23" max="26" width="16" style="12" bestFit="1" customWidth="1"/>
    <col min="27" max="27" width="15.83203125" style="12"/>
    <col min="28" max="28" width="13.6640625" style="12" customWidth="1"/>
    <col min="29" max="29" width="16" style="38" bestFit="1" customWidth="1"/>
    <col min="30" max="30" width="32.33203125" style="9" customWidth="1"/>
    <col min="31" max="42" width="12.33203125" style="12" customWidth="1"/>
    <col min="43" max="16384" width="15.83203125" style="9"/>
  </cols>
  <sheetData>
    <row r="3" spans="1:44" ht="16" x14ac:dyDescent="0.2">
      <c r="A3" s="65"/>
      <c r="D3" s="15"/>
    </row>
    <row r="4" spans="1:44" ht="15" customHeight="1" x14ac:dyDescent="0.2">
      <c r="B4" s="179" t="s">
        <v>37</v>
      </c>
      <c r="C4" s="10"/>
      <c r="D4" s="180" t="s">
        <v>3</v>
      </c>
      <c r="E4" s="180"/>
      <c r="F4" s="180"/>
      <c r="G4" s="180"/>
      <c r="H4" s="180"/>
      <c r="I4" s="180"/>
      <c r="J4" s="180"/>
      <c r="K4" s="180"/>
      <c r="L4" s="180"/>
      <c r="M4" s="180"/>
      <c r="N4" s="11"/>
      <c r="Q4" s="179" t="s">
        <v>37</v>
      </c>
      <c r="R4" s="28"/>
      <c r="S4" s="180" t="s">
        <v>4</v>
      </c>
      <c r="T4" s="180"/>
      <c r="U4" s="180"/>
      <c r="V4" s="180"/>
      <c r="W4" s="180"/>
      <c r="X4" s="180"/>
      <c r="Y4" s="180"/>
      <c r="Z4" s="180"/>
      <c r="AA4" s="180"/>
      <c r="AB4" s="180"/>
      <c r="AD4" s="179" t="s">
        <v>37</v>
      </c>
      <c r="AE4" s="13"/>
      <c r="AF4" s="178" t="s">
        <v>0</v>
      </c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26"/>
      <c r="AR4" s="26"/>
    </row>
    <row r="5" spans="1:44" x14ac:dyDescent="0.2">
      <c r="B5" s="179"/>
      <c r="C5" s="1">
        <v>2019</v>
      </c>
      <c r="D5" s="1">
        <v>2020</v>
      </c>
      <c r="E5" s="1">
        <v>2021</v>
      </c>
      <c r="F5" s="1">
        <v>2022</v>
      </c>
      <c r="G5" s="1">
        <v>2023</v>
      </c>
      <c r="H5" s="1">
        <v>2024</v>
      </c>
      <c r="I5" s="1">
        <v>2025</v>
      </c>
      <c r="J5" s="1">
        <v>2026</v>
      </c>
      <c r="K5" s="1">
        <v>2027</v>
      </c>
      <c r="L5" s="1">
        <v>2028</v>
      </c>
      <c r="M5" s="1">
        <v>2029</v>
      </c>
      <c r="N5" s="1">
        <v>2030</v>
      </c>
      <c r="O5" s="14" t="s">
        <v>5</v>
      </c>
      <c r="Q5" s="179"/>
      <c r="R5" s="29">
        <v>2020</v>
      </c>
      <c r="S5" s="29">
        <v>2021</v>
      </c>
      <c r="T5" s="29">
        <v>2022</v>
      </c>
      <c r="U5" s="29">
        <v>2023</v>
      </c>
      <c r="V5" s="29">
        <v>2024</v>
      </c>
      <c r="W5" s="29">
        <v>2025</v>
      </c>
      <c r="X5" s="29">
        <v>2026</v>
      </c>
      <c r="Y5" s="29">
        <v>2027</v>
      </c>
      <c r="Z5" s="29">
        <v>2028</v>
      </c>
      <c r="AA5" s="29">
        <v>2029</v>
      </c>
      <c r="AB5" s="29">
        <v>2030</v>
      </c>
      <c r="AD5" s="179"/>
      <c r="AE5" s="29">
        <v>2019</v>
      </c>
      <c r="AF5" s="29">
        <v>2020</v>
      </c>
      <c r="AG5" s="29">
        <v>2021</v>
      </c>
      <c r="AH5" s="29">
        <v>2022</v>
      </c>
      <c r="AI5" s="29">
        <v>2023</v>
      </c>
      <c r="AJ5" s="29">
        <v>2024</v>
      </c>
      <c r="AK5" s="29">
        <v>2025</v>
      </c>
      <c r="AL5" s="29">
        <v>2026</v>
      </c>
      <c r="AM5" s="29">
        <v>2027</v>
      </c>
      <c r="AN5" s="29">
        <v>2028</v>
      </c>
      <c r="AO5" s="29">
        <v>2029</v>
      </c>
      <c r="AP5" s="29">
        <v>2030</v>
      </c>
      <c r="AQ5" s="26"/>
      <c r="AR5" s="26"/>
    </row>
    <row r="6" spans="1:44" x14ac:dyDescent="0.2">
      <c r="B6" s="179"/>
      <c r="E6" s="15"/>
      <c r="Q6" s="179"/>
      <c r="AB6" s="36"/>
      <c r="AC6" s="68"/>
      <c r="AD6" s="179"/>
      <c r="AE6" s="16"/>
      <c r="AG6" s="39"/>
      <c r="AQ6" s="46"/>
      <c r="AR6" s="47"/>
    </row>
    <row r="7" spans="1:44" x14ac:dyDescent="0.2">
      <c r="B7" s="17" t="s">
        <v>9</v>
      </c>
      <c r="C7" s="18">
        <f>Global!C33</f>
        <v>3575</v>
      </c>
      <c r="D7" s="18">
        <f>Global!D33</f>
        <v>3659.386363636364</v>
      </c>
      <c r="E7" s="18">
        <f>Global!E33</f>
        <v>3770.136363636364</v>
      </c>
      <c r="F7" s="18">
        <f>Global!F33</f>
        <v>3907.3863636363644</v>
      </c>
      <c r="G7" s="18">
        <f>Global!G33</f>
        <v>4097.454545454546</v>
      </c>
      <c r="H7" s="18">
        <f>Global!H33</f>
        <v>4327.5000000000009</v>
      </c>
      <c r="I7" s="18">
        <f>Global!I33</f>
        <v>4597.727272727273</v>
      </c>
      <c r="J7" s="18">
        <f>Global!J33</f>
        <v>4947.8181818181829</v>
      </c>
      <c r="K7" s="18">
        <f>Global!K33</f>
        <v>5391.3636363636369</v>
      </c>
      <c r="L7" s="18">
        <f>Global!L33</f>
        <v>5935.4431818181829</v>
      </c>
      <c r="M7" s="18">
        <f>Global!M33</f>
        <v>6597.7636363636375</v>
      </c>
      <c r="N7" s="18">
        <f>Global!N33</f>
        <v>7401.3175000000001</v>
      </c>
      <c r="O7" s="19">
        <f>((N7/H7)^(1/7)-1)*100%</f>
        <v>7.9682330613216168E-2</v>
      </c>
      <c r="P7" s="24"/>
      <c r="Q7" s="17" t="s">
        <v>9</v>
      </c>
      <c r="R7" s="28">
        <f t="shared" ref="R7:AB18" si="0">(D7/C7-1)*100</f>
        <v>2.3604577240941005</v>
      </c>
      <c r="S7" s="28">
        <f t="shared" si="0"/>
        <v>3.0264637016886864</v>
      </c>
      <c r="T7" s="28">
        <f t="shared" si="0"/>
        <v>3.6404518765899674</v>
      </c>
      <c r="U7" s="28">
        <f t="shared" si="0"/>
        <v>4.8643303766177093</v>
      </c>
      <c r="V7" s="28">
        <f t="shared" si="0"/>
        <v>5.6143503727369648</v>
      </c>
      <c r="W7" s="28">
        <f t="shared" si="0"/>
        <v>6.2444199359277253</v>
      </c>
      <c r="X7" s="28">
        <f t="shared" si="0"/>
        <v>7.6144340088976969</v>
      </c>
      <c r="Y7" s="28">
        <f t="shared" si="0"/>
        <v>8.9644655128063633</v>
      </c>
      <c r="Z7" s="28">
        <f t="shared" si="0"/>
        <v>10.0916870415648</v>
      </c>
      <c r="AA7" s="28">
        <f t="shared" si="0"/>
        <v>11.158736327799668</v>
      </c>
      <c r="AB7" s="28">
        <f t="shared" si="0"/>
        <v>12.179185371351696</v>
      </c>
      <c r="AC7" s="69"/>
      <c r="AD7" s="17" t="s">
        <v>9</v>
      </c>
      <c r="AE7" s="20">
        <v>1</v>
      </c>
      <c r="AF7" s="20">
        <v>1</v>
      </c>
      <c r="AG7" s="20">
        <v>1</v>
      </c>
      <c r="AH7" s="20">
        <v>1</v>
      </c>
      <c r="AI7" s="20">
        <v>1</v>
      </c>
      <c r="AJ7" s="20">
        <v>1</v>
      </c>
      <c r="AK7" s="20">
        <v>1</v>
      </c>
      <c r="AL7" s="20">
        <v>1</v>
      </c>
      <c r="AM7" s="20">
        <v>1</v>
      </c>
      <c r="AN7" s="20">
        <v>1</v>
      </c>
      <c r="AO7" s="20">
        <v>1</v>
      </c>
      <c r="AP7" s="20">
        <v>1</v>
      </c>
      <c r="AQ7" s="46"/>
      <c r="AR7" s="47"/>
    </row>
    <row r="8" spans="1:44" x14ac:dyDescent="0.2">
      <c r="B8" s="5" t="s">
        <v>10</v>
      </c>
      <c r="C8" s="21">
        <f>C7*AE8</f>
        <v>1859</v>
      </c>
      <c r="D8" s="21">
        <f t="shared" ref="D8:N8" si="1">D7*AF8</f>
        <v>1900.8848801652891</v>
      </c>
      <c r="E8" s="21">
        <f t="shared" si="1"/>
        <v>1956.3580330578513</v>
      </c>
      <c r="F8" s="21">
        <f t="shared" si="1"/>
        <v>2025.4470041322318</v>
      </c>
      <c r="G8" s="21">
        <f t="shared" si="1"/>
        <v>2121.7364628099176</v>
      </c>
      <c r="H8" s="21">
        <f t="shared" si="1"/>
        <v>2238.4977272727274</v>
      </c>
      <c r="I8" s="21">
        <f t="shared" si="1"/>
        <v>2375.7710743801654</v>
      </c>
      <c r="J8" s="21">
        <f t="shared" si="1"/>
        <v>2553.9737851239674</v>
      </c>
      <c r="K8" s="21">
        <f t="shared" si="1"/>
        <v>2779.9831404958682</v>
      </c>
      <c r="L8" s="21">
        <f t="shared" si="1"/>
        <v>3057.2928243801657</v>
      </c>
      <c r="M8" s="21">
        <f t="shared" si="1"/>
        <v>3394.849289256199</v>
      </c>
      <c r="N8" s="21">
        <f t="shared" si="1"/>
        <v>3804.2771950000001</v>
      </c>
      <c r="O8" s="19">
        <f t="shared" ref="O8:O18" si="2">((N8/H8)^(1/7)-1)*100%</f>
        <v>7.8703812621579772E-2</v>
      </c>
      <c r="P8" s="24"/>
      <c r="Q8" s="5" t="s">
        <v>10</v>
      </c>
      <c r="R8" s="30">
        <f t="shared" si="0"/>
        <v>2.2530866145932915</v>
      </c>
      <c r="S8" s="30">
        <f t="shared" si="0"/>
        <v>2.9182805056421124</v>
      </c>
      <c r="T8" s="30">
        <f t="shared" si="0"/>
        <v>3.5315095655774176</v>
      </c>
      <c r="U8" s="30">
        <f t="shared" si="0"/>
        <v>4.7539855884276561</v>
      </c>
      <c r="V8" s="30">
        <f t="shared" si="0"/>
        <v>5.5030993014173468</v>
      </c>
      <c r="W8" s="30">
        <f t="shared" si="0"/>
        <v>6.1323871556789422</v>
      </c>
      <c r="X8" s="30">
        <f t="shared" si="0"/>
        <v>7.5008367879171534</v>
      </c>
      <c r="Y8" s="30">
        <f t="shared" si="0"/>
        <v>8.8493216605561429</v>
      </c>
      <c r="Z8" s="30">
        <f t="shared" si="0"/>
        <v>9.9752289805194128</v>
      </c>
      <c r="AA8" s="30">
        <f t="shared" si="0"/>
        <v>11.041024993883909</v>
      </c>
      <c r="AB8" s="30">
        <f t="shared" si="0"/>
        <v>12.060267507000443</v>
      </c>
      <c r="AC8" s="132">
        <v>0.01</v>
      </c>
      <c r="AD8" s="5" t="s">
        <v>10</v>
      </c>
      <c r="AE8" s="75">
        <v>0.52</v>
      </c>
      <c r="AF8" s="75">
        <v>0.51945454545454539</v>
      </c>
      <c r="AG8" s="75">
        <v>0.51890909090909088</v>
      </c>
      <c r="AH8" s="75">
        <v>0.51836363636363636</v>
      </c>
      <c r="AI8" s="75">
        <v>0.51781818181818184</v>
      </c>
      <c r="AJ8" s="75">
        <v>0.51727272727272722</v>
      </c>
      <c r="AK8" s="75">
        <v>0.5167272727272727</v>
      </c>
      <c r="AL8" s="75">
        <v>0.51618181818181819</v>
      </c>
      <c r="AM8" s="75">
        <v>0.51563636363636367</v>
      </c>
      <c r="AN8" s="75">
        <v>0.51509090909090904</v>
      </c>
      <c r="AO8" s="75">
        <v>0.51454545454545453</v>
      </c>
      <c r="AP8" s="75">
        <v>0.51400000000000001</v>
      </c>
      <c r="AQ8" s="46"/>
      <c r="AR8" s="47"/>
    </row>
    <row r="9" spans="1:44" s="78" customFormat="1" x14ac:dyDescent="0.2">
      <c r="B9" s="91" t="s">
        <v>11</v>
      </c>
      <c r="C9" s="79">
        <f>C7*AE9</f>
        <v>695.33749999999998</v>
      </c>
      <c r="D9" s="79">
        <f t="shared" ref="D9:N9" si="3">D7*AF9</f>
        <v>710.25362603305791</v>
      </c>
      <c r="E9" s="79">
        <f t="shared" si="3"/>
        <v>730.20686570247949</v>
      </c>
      <c r="F9" s="79">
        <f t="shared" si="3"/>
        <v>755.19121900826474</v>
      </c>
      <c r="G9" s="79">
        <f t="shared" si="3"/>
        <v>790.24998347107453</v>
      </c>
      <c r="H9" s="79">
        <f t="shared" si="3"/>
        <v>832.84704545454565</v>
      </c>
      <c r="I9" s="79">
        <f t="shared" si="3"/>
        <v>882.97262396694225</v>
      </c>
      <c r="J9" s="79">
        <f t="shared" si="3"/>
        <v>948.18188429752081</v>
      </c>
      <c r="K9" s="79">
        <f t="shared" si="3"/>
        <v>1030.97576446281</v>
      </c>
      <c r="L9" s="79">
        <f t="shared" si="3"/>
        <v>1132.5904762396697</v>
      </c>
      <c r="M9" s="79">
        <f t="shared" si="3"/>
        <v>1256.2741760330582</v>
      </c>
      <c r="N9" s="79">
        <f t="shared" si="3"/>
        <v>1406.250325</v>
      </c>
      <c r="O9" s="105">
        <f t="shared" si="2"/>
        <v>7.7704327176571608E-2</v>
      </c>
      <c r="P9" s="80"/>
      <c r="Q9" s="91" t="s">
        <v>11</v>
      </c>
      <c r="R9" s="81">
        <f t="shared" si="0"/>
        <v>2.1451634685397902</v>
      </c>
      <c r="S9" s="81">
        <f t="shared" si="0"/>
        <v>2.809311904659384</v>
      </c>
      <c r="T9" s="81">
        <f t="shared" si="0"/>
        <v>3.4215445621357699</v>
      </c>
      <c r="U9" s="81">
        <f t="shared" si="0"/>
        <v>4.6423691881441354</v>
      </c>
      <c r="V9" s="81">
        <f t="shared" si="0"/>
        <v>5.390327475410861</v>
      </c>
      <c r="W9" s="81">
        <f t="shared" si="0"/>
        <v>6.018581537386547</v>
      </c>
      <c r="X9" s="81">
        <f t="shared" si="0"/>
        <v>7.3851961613047523</v>
      </c>
      <c r="Y9" s="81">
        <f t="shared" si="0"/>
        <v>8.7318563596718199</v>
      </c>
      <c r="Z9" s="81">
        <f t="shared" si="0"/>
        <v>9.8561688139978685</v>
      </c>
      <c r="AA9" s="81">
        <f t="shared" si="0"/>
        <v>10.920425554348</v>
      </c>
      <c r="AB9" s="81">
        <f t="shared" si="0"/>
        <v>11.938170172415873</v>
      </c>
      <c r="AC9" s="135">
        <v>0.01</v>
      </c>
      <c r="AD9" s="91" t="s">
        <v>11</v>
      </c>
      <c r="AE9" s="164">
        <v>0.19450000000000001</v>
      </c>
      <c r="AF9" s="164">
        <v>0.19409090909090909</v>
      </c>
      <c r="AG9" s="164">
        <v>0.1936818181818182</v>
      </c>
      <c r="AH9" s="164">
        <v>0.19327272727272729</v>
      </c>
      <c r="AI9" s="164">
        <v>0.19286363636363638</v>
      </c>
      <c r="AJ9" s="164">
        <v>0.19245454545454546</v>
      </c>
      <c r="AK9" s="164">
        <v>0.19204545454545455</v>
      </c>
      <c r="AL9" s="164">
        <v>0.19163636363636363</v>
      </c>
      <c r="AM9" s="164">
        <v>0.19122727272727275</v>
      </c>
      <c r="AN9" s="164">
        <v>0.19081818181818183</v>
      </c>
      <c r="AO9" s="164">
        <v>0.19040909090909092</v>
      </c>
      <c r="AP9" s="164">
        <v>0.19</v>
      </c>
      <c r="AQ9" s="85"/>
      <c r="AR9" s="83"/>
    </row>
    <row r="10" spans="1:44" s="78" customFormat="1" x14ac:dyDescent="0.2">
      <c r="B10" s="91" t="s">
        <v>12</v>
      </c>
      <c r="C10" s="79">
        <f>C7*AE10</f>
        <v>382.52499999999998</v>
      </c>
      <c r="D10" s="79">
        <f t="shared" ref="D10:N10" si="4">D7*AF10</f>
        <v>391.72067665289256</v>
      </c>
      <c r="E10" s="79">
        <f t="shared" si="4"/>
        <v>403.74733057851245</v>
      </c>
      <c r="F10" s="79">
        <f t="shared" si="4"/>
        <v>418.62316632231415</v>
      </c>
      <c r="G10" s="79">
        <f t="shared" si="4"/>
        <v>439.17262809917361</v>
      </c>
      <c r="H10" s="79">
        <f t="shared" si="4"/>
        <v>464.02602272727285</v>
      </c>
      <c r="I10" s="79">
        <f t="shared" si="4"/>
        <v>493.21074380165288</v>
      </c>
      <c r="J10" s="79">
        <f t="shared" si="4"/>
        <v>530.9908512396695</v>
      </c>
      <c r="K10" s="79">
        <f t="shared" si="4"/>
        <v>578.8364049586778</v>
      </c>
      <c r="L10" s="79">
        <f t="shared" si="4"/>
        <v>637.52055630165307</v>
      </c>
      <c r="M10" s="79">
        <f t="shared" si="4"/>
        <v>708.95969256198362</v>
      </c>
      <c r="N10" s="79">
        <f t="shared" si="4"/>
        <v>795.64163125000005</v>
      </c>
      <c r="O10" s="105">
        <f t="shared" si="2"/>
        <v>8.0074206325311703E-2</v>
      </c>
      <c r="P10" s="80"/>
      <c r="Q10" s="91" t="s">
        <v>12</v>
      </c>
      <c r="R10" s="81">
        <f t="shared" si="0"/>
        <v>2.4039413509947316</v>
      </c>
      <c r="S10" s="81">
        <f t="shared" ref="S10:S18" si="5">(E10/D10-1)*100</f>
        <v>3.0702116692902681</v>
      </c>
      <c r="T10" s="81">
        <f t="shared" ref="T10:T18" si="6">(F10/E10-1)*100</f>
        <v>3.684441881630951</v>
      </c>
      <c r="U10" s="81">
        <f t="shared" ref="U10:U18" si="7">(G10/F10-1)*100</f>
        <v>4.9088209707528696</v>
      </c>
      <c r="V10" s="81">
        <f t="shared" ref="V10:V18" si="8">(H10/G10-1)*100</f>
        <v>5.6591401735735847</v>
      </c>
      <c r="W10" s="81">
        <f t="shared" ref="W10:W18" si="9">(I10/H10-1)*100</f>
        <v>6.289457841792867</v>
      </c>
      <c r="X10" s="81">
        <f t="shared" ref="X10:X18" si="10">(J10/I10-1)*100</f>
        <v>7.6600333453421321</v>
      </c>
      <c r="Y10" s="81">
        <f t="shared" ref="Y10:Y18" si="11">(K10/J10-1)*100</f>
        <v>9.0106173406389942</v>
      </c>
      <c r="Z10" s="81">
        <f t="shared" ref="Z10:Z18" si="12">(L10/K10-1)*100</f>
        <v>10.13829656190417</v>
      </c>
      <c r="AA10" s="81">
        <f t="shared" ref="AA10:AA18" si="13">(M10/L10-1)*100</f>
        <v>11.205777688920193</v>
      </c>
      <c r="AB10" s="81">
        <f t="shared" si="0"/>
        <v>12.226638495451269</v>
      </c>
      <c r="AC10" s="112">
        <v>0.03</v>
      </c>
      <c r="AD10" s="91" t="s">
        <v>12</v>
      </c>
      <c r="AE10" s="82">
        <v>0.107</v>
      </c>
      <c r="AF10" s="82">
        <v>0.10704545454545454</v>
      </c>
      <c r="AG10" s="82">
        <v>0.1070909090909091</v>
      </c>
      <c r="AH10" s="82">
        <v>0.10713636363636364</v>
      </c>
      <c r="AI10" s="82">
        <v>0.10718181818181818</v>
      </c>
      <c r="AJ10" s="82">
        <v>0.10722727272727273</v>
      </c>
      <c r="AK10" s="82">
        <v>0.10727272727272727</v>
      </c>
      <c r="AL10" s="82">
        <v>0.10731818181818181</v>
      </c>
      <c r="AM10" s="82">
        <v>0.10736363636363637</v>
      </c>
      <c r="AN10" s="82">
        <v>0.10740909090909091</v>
      </c>
      <c r="AO10" s="82">
        <v>0.10745454545454546</v>
      </c>
      <c r="AP10" s="82">
        <v>0.1075</v>
      </c>
      <c r="AQ10" s="85"/>
      <c r="AR10" s="83"/>
    </row>
    <row r="11" spans="1:44" s="78" customFormat="1" x14ac:dyDescent="0.2">
      <c r="B11" s="90" t="s">
        <v>14</v>
      </c>
      <c r="C11" s="79">
        <f t="shared" ref="C11:N11" si="14">C7*AE11</f>
        <v>420.06249999999994</v>
      </c>
      <c r="D11" s="79">
        <f t="shared" si="14"/>
        <v>429.14621900826444</v>
      </c>
      <c r="E11" s="79">
        <f t="shared" si="14"/>
        <v>441.27732438016528</v>
      </c>
      <c r="F11" s="79">
        <f t="shared" si="14"/>
        <v>456.45377066115708</v>
      </c>
      <c r="G11" s="79">
        <f t="shared" si="14"/>
        <v>477.72595041322313</v>
      </c>
      <c r="H11" s="79">
        <f t="shared" si="14"/>
        <v>503.56363636363642</v>
      </c>
      <c r="I11" s="79">
        <f t="shared" si="14"/>
        <v>533.96332644628092</v>
      </c>
      <c r="J11" s="79">
        <f t="shared" si="14"/>
        <v>573.49710743801654</v>
      </c>
      <c r="K11" s="79">
        <f t="shared" si="14"/>
        <v>623.68274793388434</v>
      </c>
      <c r="L11" s="79">
        <f t="shared" si="14"/>
        <v>685.27389462809924</v>
      </c>
      <c r="M11" s="79">
        <f t="shared" si="14"/>
        <v>760.24230991735544</v>
      </c>
      <c r="N11" s="79">
        <f t="shared" si="14"/>
        <v>851.15151249999997</v>
      </c>
      <c r="O11" s="105">
        <f t="shared" si="2"/>
        <v>7.7865682434617334E-2</v>
      </c>
      <c r="P11" s="80"/>
      <c r="Q11" s="90" t="s">
        <v>14</v>
      </c>
      <c r="R11" s="81">
        <f t="shared" si="0"/>
        <v>2.1624684441635456</v>
      </c>
      <c r="S11" s="81">
        <f t="shared" si="5"/>
        <v>2.8268000123443215</v>
      </c>
      <c r="T11" s="81">
        <f t="shared" si="6"/>
        <v>3.4392082807130908</v>
      </c>
      <c r="U11" s="81">
        <f t="shared" si="7"/>
        <v>4.6603141696592854</v>
      </c>
      <c r="V11" s="81">
        <f t="shared" si="8"/>
        <v>5.4084744460844547</v>
      </c>
      <c r="W11" s="81">
        <f t="shared" si="9"/>
        <v>6.0369113032403554</v>
      </c>
      <c r="X11" s="81">
        <f t="shared" si="10"/>
        <v>7.4038382476278253</v>
      </c>
      <c r="Y11" s="81">
        <f t="shared" si="11"/>
        <v>8.7508096980754004</v>
      </c>
      <c r="Z11" s="81">
        <f t="shared" si="12"/>
        <v>9.8753968902061118</v>
      </c>
      <c r="AA11" s="81">
        <f t="shared" si="13"/>
        <v>10.939919917705577</v>
      </c>
      <c r="AB11" s="81">
        <f t="shared" ref="AB11:AB18" si="15">(N11/M11-1)*100</f>
        <v>11.95792465069816</v>
      </c>
      <c r="AC11" s="112">
        <v>0.02</v>
      </c>
      <c r="AD11" s="90" t="s">
        <v>14</v>
      </c>
      <c r="AE11" s="82">
        <v>0.11749999999999998</v>
      </c>
      <c r="AF11" s="82">
        <v>0.11727272727272725</v>
      </c>
      <c r="AG11" s="82">
        <v>0.11704545454545454</v>
      </c>
      <c r="AH11" s="82">
        <v>0.11681818181818181</v>
      </c>
      <c r="AI11" s="82">
        <v>0.11659090909090908</v>
      </c>
      <c r="AJ11" s="82">
        <v>0.11636363636363635</v>
      </c>
      <c r="AK11" s="82">
        <v>0.11613636363636362</v>
      </c>
      <c r="AL11" s="82">
        <v>0.11590909090909089</v>
      </c>
      <c r="AM11" s="82">
        <v>0.11568181818181818</v>
      </c>
      <c r="AN11" s="82">
        <v>0.11545454545454545</v>
      </c>
      <c r="AO11" s="82">
        <v>0.11522727272727272</v>
      </c>
      <c r="AP11" s="82">
        <v>0.11499999999999999</v>
      </c>
      <c r="AQ11" s="85"/>
      <c r="AR11" s="83"/>
    </row>
    <row r="12" spans="1:44" s="78" customFormat="1" x14ac:dyDescent="0.2">
      <c r="B12" s="91" t="s">
        <v>13</v>
      </c>
      <c r="C12" s="79">
        <f t="shared" ref="C12:N12" si="16">C7*AE12</f>
        <v>361.07500000000005</v>
      </c>
      <c r="D12" s="79">
        <f t="shared" si="16"/>
        <v>369.76435847107444</v>
      </c>
      <c r="E12" s="79">
        <f t="shared" si="16"/>
        <v>381.1265123966943</v>
      </c>
      <c r="F12" s="79">
        <f t="shared" si="16"/>
        <v>395.17884814049597</v>
      </c>
      <c r="G12" s="79">
        <f t="shared" si="16"/>
        <v>414.5879008264464</v>
      </c>
      <c r="H12" s="79">
        <f t="shared" si="16"/>
        <v>438.06102272727287</v>
      </c>
      <c r="I12" s="79">
        <f t="shared" si="16"/>
        <v>465.62438016528932</v>
      </c>
      <c r="J12" s="79">
        <f t="shared" si="16"/>
        <v>501.30394214876043</v>
      </c>
      <c r="K12" s="79">
        <f t="shared" si="16"/>
        <v>546.48822314049596</v>
      </c>
      <c r="L12" s="79">
        <f t="shared" si="16"/>
        <v>601.90789721074395</v>
      </c>
      <c r="M12" s="79">
        <f t="shared" si="16"/>
        <v>669.37311074380182</v>
      </c>
      <c r="N12" s="79">
        <f t="shared" si="16"/>
        <v>751.23372625000002</v>
      </c>
      <c r="O12" s="105">
        <f t="shared" si="2"/>
        <v>8.0097407041274105E-2</v>
      </c>
      <c r="P12" s="80"/>
      <c r="Q12" s="91" t="s">
        <v>13</v>
      </c>
      <c r="R12" s="81">
        <f t="shared" si="0"/>
        <v>2.4065245367512089</v>
      </c>
      <c r="S12" s="81">
        <f t="shared" si="5"/>
        <v>3.072809389363762</v>
      </c>
      <c r="T12" s="81">
        <f t="shared" si="6"/>
        <v>3.6870527991963442</v>
      </c>
      <c r="U12" s="81">
        <f t="shared" si="7"/>
        <v>4.9114604127420414</v>
      </c>
      <c r="V12" s="81">
        <f t="shared" si="8"/>
        <v>5.6617961725450083</v>
      </c>
      <c r="W12" s="81">
        <f t="shared" si="9"/>
        <v>6.2921273539501277</v>
      </c>
      <c r="X12" s="81">
        <f t="shared" si="10"/>
        <v>7.6627349218280738</v>
      </c>
      <c r="Y12" s="81">
        <f t="shared" si="11"/>
        <v>9.0133504233101078</v>
      </c>
      <c r="Z12" s="81">
        <f t="shared" si="12"/>
        <v>10.141055511090169</v>
      </c>
      <c r="AA12" s="81">
        <f t="shared" si="13"/>
        <v>11.208560951882053</v>
      </c>
      <c r="AB12" s="81">
        <f t="shared" si="15"/>
        <v>12.229444863005522</v>
      </c>
      <c r="AC12" s="112">
        <v>0.04</v>
      </c>
      <c r="AD12" s="91" t="s">
        <v>13</v>
      </c>
      <c r="AE12" s="82">
        <v>0.10100000000000001</v>
      </c>
      <c r="AF12" s="82">
        <v>0.10104545454545455</v>
      </c>
      <c r="AG12" s="82">
        <v>0.10109090909090911</v>
      </c>
      <c r="AH12" s="82">
        <v>0.10113636363636365</v>
      </c>
      <c r="AI12" s="82">
        <v>0.10118181818181819</v>
      </c>
      <c r="AJ12" s="82">
        <v>0.10122727272727274</v>
      </c>
      <c r="AK12" s="82">
        <v>0.10127272727272728</v>
      </c>
      <c r="AL12" s="82">
        <v>0.10131818181818182</v>
      </c>
      <c r="AM12" s="82">
        <v>0.10136363636363638</v>
      </c>
      <c r="AN12" s="82">
        <v>0.10140909090909092</v>
      </c>
      <c r="AO12" s="82">
        <v>0.10145454545454546</v>
      </c>
      <c r="AP12" s="82">
        <v>0.10150000000000001</v>
      </c>
      <c r="AQ12" s="85"/>
      <c r="AR12" s="83"/>
    </row>
    <row r="13" spans="1:44" x14ac:dyDescent="0.2">
      <c r="B13" s="5" t="s">
        <v>15</v>
      </c>
      <c r="C13" s="21">
        <f t="shared" ref="C13:N13" si="17">C7*AE13</f>
        <v>1716</v>
      </c>
      <c r="D13" s="21">
        <f t="shared" si="17"/>
        <v>1758.5014834710744</v>
      </c>
      <c r="E13" s="21">
        <f t="shared" si="17"/>
        <v>1813.7783305785124</v>
      </c>
      <c r="F13" s="21">
        <f t="shared" si="17"/>
        <v>1881.9393595041324</v>
      </c>
      <c r="G13" s="21">
        <f t="shared" si="17"/>
        <v>1975.7180826446283</v>
      </c>
      <c r="H13" s="21">
        <f t="shared" si="17"/>
        <v>2089.0022727272731</v>
      </c>
      <c r="I13" s="21">
        <f t="shared" si="17"/>
        <v>2221.9561983471076</v>
      </c>
      <c r="J13" s="21">
        <f t="shared" si="17"/>
        <v>2393.844396694215</v>
      </c>
      <c r="K13" s="21">
        <f t="shared" si="17"/>
        <v>2611.3804958677688</v>
      </c>
      <c r="L13" s="21">
        <f t="shared" si="17"/>
        <v>2878.1503574380167</v>
      </c>
      <c r="M13" s="21">
        <f t="shared" si="17"/>
        <v>3202.9143471074385</v>
      </c>
      <c r="N13" s="21">
        <f t="shared" si="17"/>
        <v>3597.040305</v>
      </c>
      <c r="O13" s="19">
        <f t="shared" si="2"/>
        <v>8.072500213072864E-2</v>
      </c>
      <c r="P13" s="24"/>
      <c r="Q13" s="5" t="s">
        <v>15</v>
      </c>
      <c r="R13" s="30">
        <f t="shared" si="0"/>
        <v>2.4767764260532843</v>
      </c>
      <c r="S13" s="30">
        <f t="shared" si="5"/>
        <v>3.1434063392615341</v>
      </c>
      <c r="T13" s="30">
        <f t="shared" si="6"/>
        <v>3.7579580578559257</v>
      </c>
      <c r="U13" s="30">
        <f t="shared" si="7"/>
        <v>4.9830895276671061</v>
      </c>
      <c r="V13" s="30">
        <f t="shared" si="8"/>
        <v>5.7338236197649328</v>
      </c>
      <c r="W13" s="30">
        <f t="shared" si="9"/>
        <v>6.3644701279457205</v>
      </c>
      <c r="X13" s="30">
        <f t="shared" si="10"/>
        <v>7.7358949953636902</v>
      </c>
      <c r="Y13" s="30">
        <f t="shared" si="11"/>
        <v>9.0873115844104504</v>
      </c>
      <c r="Z13" s="30">
        <f t="shared" si="12"/>
        <v>10.215664166611592</v>
      </c>
      <c r="AA13" s="30">
        <f t="shared" si="13"/>
        <v>11.283774276424886</v>
      </c>
      <c r="AB13" s="30">
        <f t="shared" si="15"/>
        <v>12.305229399858852</v>
      </c>
      <c r="AC13" s="24">
        <v>0.02</v>
      </c>
      <c r="AD13" s="5" t="s">
        <v>15</v>
      </c>
      <c r="AE13" s="158">
        <v>0.48</v>
      </c>
      <c r="AF13" s="158">
        <v>0.4805454545454545</v>
      </c>
      <c r="AG13" s="158">
        <v>0.48109090909090907</v>
      </c>
      <c r="AH13" s="158">
        <v>0.48163636363636358</v>
      </c>
      <c r="AI13" s="158">
        <v>0.48218181818181816</v>
      </c>
      <c r="AJ13" s="158">
        <v>0.48272727272727267</v>
      </c>
      <c r="AK13" s="158">
        <v>0.48327272727272724</v>
      </c>
      <c r="AL13" s="158">
        <v>0.48381818181818176</v>
      </c>
      <c r="AM13" s="158">
        <v>0.48436363636363633</v>
      </c>
      <c r="AN13" s="158">
        <v>0.48490909090909085</v>
      </c>
      <c r="AO13" s="158">
        <v>0.48545454545454542</v>
      </c>
      <c r="AP13" s="158">
        <v>0.48599999999999999</v>
      </c>
      <c r="AQ13" s="4"/>
      <c r="AR13" s="26"/>
    </row>
    <row r="14" spans="1:44" s="78" customFormat="1" x14ac:dyDescent="0.2">
      <c r="B14" s="91" t="s">
        <v>16</v>
      </c>
      <c r="C14" s="79">
        <f t="shared" ref="C14:N14" si="18">C7*AE14</f>
        <v>429</v>
      </c>
      <c r="D14" s="79">
        <f t="shared" si="18"/>
        <v>439.75843946280997</v>
      </c>
      <c r="E14" s="79">
        <f t="shared" si="18"/>
        <v>453.71877438016531</v>
      </c>
      <c r="F14" s="79">
        <f t="shared" si="18"/>
        <v>470.91110020661165</v>
      </c>
      <c r="G14" s="79">
        <f t="shared" si="18"/>
        <v>494.52551404958683</v>
      </c>
      <c r="H14" s="79">
        <f t="shared" si="18"/>
        <v>523.03738636363653</v>
      </c>
      <c r="I14" s="79">
        <f t="shared" si="18"/>
        <v>556.4921900826447</v>
      </c>
      <c r="J14" s="79">
        <f t="shared" si="18"/>
        <v>599.72054380165298</v>
      </c>
      <c r="K14" s="79">
        <f t="shared" si="18"/>
        <v>654.41352066115701</v>
      </c>
      <c r="L14" s="79">
        <f t="shared" si="18"/>
        <v>721.48009803719026</v>
      </c>
      <c r="M14" s="79">
        <f t="shared" si="18"/>
        <v>803.12777355371918</v>
      </c>
      <c r="N14" s="79">
        <f t="shared" si="18"/>
        <v>902.22060324999995</v>
      </c>
      <c r="O14" s="105">
        <f t="shared" si="2"/>
        <v>8.1000053252860305E-2</v>
      </c>
      <c r="P14" s="80"/>
      <c r="Q14" s="91" t="s">
        <v>16</v>
      </c>
      <c r="R14" s="81">
        <f t="shared" si="0"/>
        <v>2.5077947465757422</v>
      </c>
      <c r="S14" s="81">
        <f t="shared" si="5"/>
        <v>3.1745462200585939</v>
      </c>
      <c r="T14" s="81">
        <f t="shared" si="6"/>
        <v>3.7892030917021424</v>
      </c>
      <c r="U14" s="81">
        <f t="shared" si="7"/>
        <v>5.0146224696369313</v>
      </c>
      <c r="V14" s="81">
        <f t="shared" si="8"/>
        <v>5.7655007687208659</v>
      </c>
      <c r="W14" s="81">
        <f t="shared" si="9"/>
        <v>6.3962547594540453</v>
      </c>
      <c r="X14" s="81">
        <f t="shared" si="10"/>
        <v>7.7680072585723847</v>
      </c>
      <c r="Y14" s="81">
        <f t="shared" si="11"/>
        <v>9.1197437581182363</v>
      </c>
      <c r="Z14" s="81">
        <f t="shared" si="12"/>
        <v>10.248348369739603</v>
      </c>
      <c r="AA14" s="81">
        <f t="shared" si="13"/>
        <v>11.316691304258297</v>
      </c>
      <c r="AB14" s="81">
        <f t="shared" si="15"/>
        <v>12.338364200482065</v>
      </c>
      <c r="AC14" s="112">
        <v>0.02</v>
      </c>
      <c r="AD14" s="91" t="s">
        <v>16</v>
      </c>
      <c r="AE14" s="85">
        <v>0.12</v>
      </c>
      <c r="AF14" s="85">
        <v>0.12017272727272728</v>
      </c>
      <c r="AG14" s="85">
        <v>0.12034545454545455</v>
      </c>
      <c r="AH14" s="85">
        <v>0.12051818181818182</v>
      </c>
      <c r="AI14" s="85">
        <v>0.12069090909090908</v>
      </c>
      <c r="AJ14" s="85">
        <v>0.12086363636363637</v>
      </c>
      <c r="AK14" s="85">
        <v>0.12103636363636364</v>
      </c>
      <c r="AL14" s="85">
        <v>0.12120909090909091</v>
      </c>
      <c r="AM14" s="85">
        <v>0.12138181818181817</v>
      </c>
      <c r="AN14" s="85">
        <v>0.12155454545454546</v>
      </c>
      <c r="AO14" s="85">
        <v>0.12172727272727273</v>
      </c>
      <c r="AP14" s="85">
        <v>0.12189999999999999</v>
      </c>
      <c r="AQ14" s="85"/>
      <c r="AR14" s="83"/>
    </row>
    <row r="15" spans="1:44" s="78" customFormat="1" x14ac:dyDescent="0.2">
      <c r="B15" s="91" t="s">
        <v>17</v>
      </c>
      <c r="C15" s="79">
        <f t="shared" ref="C15:N15" si="19">C7*AE15</f>
        <v>375.375</v>
      </c>
      <c r="D15" s="79">
        <f t="shared" si="19"/>
        <v>384.56823966942153</v>
      </c>
      <c r="E15" s="79">
        <f t="shared" si="19"/>
        <v>396.54979752066117</v>
      </c>
      <c r="F15" s="79">
        <f t="shared" si="19"/>
        <v>411.34121900826455</v>
      </c>
      <c r="G15" s="79">
        <f t="shared" si="19"/>
        <v>431.72271074380171</v>
      </c>
      <c r="H15" s="79">
        <f t="shared" si="19"/>
        <v>456.35454545454553</v>
      </c>
      <c r="I15" s="79">
        <f t="shared" si="19"/>
        <v>485.26921487603312</v>
      </c>
      <c r="J15" s="79">
        <f t="shared" si="19"/>
        <v>522.66952066115721</v>
      </c>
      <c r="K15" s="79">
        <f t="shared" si="19"/>
        <v>570.01417355371905</v>
      </c>
      <c r="L15" s="79">
        <f t="shared" si="19"/>
        <v>628.07780578512416</v>
      </c>
      <c r="M15" s="79">
        <f t="shared" si="19"/>
        <v>698.76314876033075</v>
      </c>
      <c r="N15" s="79">
        <f t="shared" si="19"/>
        <v>784.53965500000004</v>
      </c>
      <c r="O15" s="105">
        <f t="shared" si="2"/>
        <v>8.0478362569976092E-2</v>
      </c>
      <c r="P15" s="80"/>
      <c r="Q15" s="91" t="s">
        <v>17</v>
      </c>
      <c r="R15" s="81">
        <f t="shared" si="0"/>
        <v>2.4490814970153929</v>
      </c>
      <c r="S15" s="81">
        <f t="shared" si="5"/>
        <v>3.1155869401849445</v>
      </c>
      <c r="T15" s="81">
        <f t="shared" si="6"/>
        <v>3.7300287580736224</v>
      </c>
      <c r="U15" s="81">
        <f t="shared" si="7"/>
        <v>4.9548867931778151</v>
      </c>
      <c r="V15" s="81">
        <f t="shared" si="8"/>
        <v>5.7054757828946201</v>
      </c>
      <c r="W15" s="81">
        <f t="shared" si="9"/>
        <v>6.3360099531138747</v>
      </c>
      <c r="X15" s="81">
        <f t="shared" si="10"/>
        <v>7.7071251665280949</v>
      </c>
      <c r="Y15" s="81">
        <f t="shared" si="11"/>
        <v>9.0582387189275249</v>
      </c>
      <c r="Z15" s="81">
        <f t="shared" si="12"/>
        <v>10.186348853294458</v>
      </c>
      <c r="AA15" s="81">
        <f t="shared" si="13"/>
        <v>11.254233523957581</v>
      </c>
      <c r="AB15" s="81">
        <f t="shared" si="15"/>
        <v>12.275476517593198</v>
      </c>
      <c r="AC15" s="112">
        <v>0.03</v>
      </c>
      <c r="AD15" s="91" t="s">
        <v>17</v>
      </c>
      <c r="AE15" s="82">
        <v>0.105</v>
      </c>
      <c r="AF15" s="82">
        <v>0.1050909090909091</v>
      </c>
      <c r="AG15" s="82">
        <v>0.10518181818181818</v>
      </c>
      <c r="AH15" s="82">
        <v>0.10527272727272727</v>
      </c>
      <c r="AI15" s="82">
        <v>0.10536363636363637</v>
      </c>
      <c r="AJ15" s="82">
        <v>0.10545454545454545</v>
      </c>
      <c r="AK15" s="82">
        <v>0.10554545454545455</v>
      </c>
      <c r="AL15" s="82">
        <v>0.10563636363636364</v>
      </c>
      <c r="AM15" s="82">
        <v>0.10572727272727273</v>
      </c>
      <c r="AN15" s="82">
        <v>0.10581818181818183</v>
      </c>
      <c r="AO15" s="82">
        <v>0.10590909090909091</v>
      </c>
      <c r="AP15" s="82">
        <v>0.106</v>
      </c>
      <c r="AQ15" s="85"/>
      <c r="AR15" s="83"/>
    </row>
    <row r="16" spans="1:44" s="78" customFormat="1" x14ac:dyDescent="0.2">
      <c r="B16" s="91" t="s">
        <v>18</v>
      </c>
      <c r="C16" s="79">
        <f t="shared" ref="C16:N16" si="20">C7*AE16</f>
        <v>446.875</v>
      </c>
      <c r="D16" s="79">
        <f t="shared" si="20"/>
        <v>457.58963119834715</v>
      </c>
      <c r="E16" s="79">
        <f t="shared" si="20"/>
        <v>471.60978512396696</v>
      </c>
      <c r="F16" s="79">
        <f t="shared" si="20"/>
        <v>488.95612086776867</v>
      </c>
      <c r="G16" s="79">
        <f t="shared" si="20"/>
        <v>512.9268099173554</v>
      </c>
      <c r="H16" s="79">
        <f t="shared" si="20"/>
        <v>541.92102272727288</v>
      </c>
      <c r="I16" s="79">
        <f t="shared" si="20"/>
        <v>575.96983471074384</v>
      </c>
      <c r="J16" s="79">
        <f t="shared" si="20"/>
        <v>620.05157851239687</v>
      </c>
      <c r="K16" s="79">
        <f t="shared" si="20"/>
        <v>675.88095041322322</v>
      </c>
      <c r="L16" s="79">
        <f t="shared" si="20"/>
        <v>744.35853357438032</v>
      </c>
      <c r="M16" s="79">
        <f t="shared" si="20"/>
        <v>827.71943801652912</v>
      </c>
      <c r="N16" s="79">
        <f t="shared" si="20"/>
        <v>928.86534625000002</v>
      </c>
      <c r="O16" s="105">
        <f t="shared" si="2"/>
        <v>8.001793111504818E-2</v>
      </c>
      <c r="P16" s="80"/>
      <c r="Q16" s="91" t="s">
        <v>18</v>
      </c>
      <c r="R16" s="81">
        <f t="shared" si="0"/>
        <v>2.3976797087210455</v>
      </c>
      <c r="S16" s="81">
        <f t="shared" si="5"/>
        <v>3.0639142519255591</v>
      </c>
      <c r="T16" s="81">
        <f t="shared" si="6"/>
        <v>3.6781119245102412</v>
      </c>
      <c r="U16" s="81">
        <f t="shared" si="7"/>
        <v>4.9024213066491518</v>
      </c>
      <c r="V16" s="81">
        <f t="shared" si="8"/>
        <v>5.6526998100546066</v>
      </c>
      <c r="W16" s="81">
        <f t="shared" si="9"/>
        <v>6.2829841536903075</v>
      </c>
      <c r="X16" s="81">
        <f t="shared" si="10"/>
        <v>7.6534813361868403</v>
      </c>
      <c r="Y16" s="81">
        <f t="shared" si="11"/>
        <v>9.0039883512223149</v>
      </c>
      <c r="Z16" s="81">
        <f t="shared" si="12"/>
        <v>10.1316042594914</v>
      </c>
      <c r="AA16" s="81">
        <f t="shared" si="13"/>
        <v>11.199025829911967</v>
      </c>
      <c r="AB16" s="81">
        <f t="shared" si="15"/>
        <v>12.219830003732636</v>
      </c>
      <c r="AC16" s="135">
        <v>0.01</v>
      </c>
      <c r="AD16" s="91" t="s">
        <v>18</v>
      </c>
      <c r="AE16" s="159">
        <v>0.125</v>
      </c>
      <c r="AF16" s="159">
        <v>0.12504545454545454</v>
      </c>
      <c r="AG16" s="159">
        <v>0.12509090909090909</v>
      </c>
      <c r="AH16" s="159">
        <v>0.12513636363636363</v>
      </c>
      <c r="AI16" s="159">
        <v>0.12518181818181817</v>
      </c>
      <c r="AJ16" s="159">
        <v>0.12522727272727274</v>
      </c>
      <c r="AK16" s="159">
        <v>0.12527272727272729</v>
      </c>
      <c r="AL16" s="159">
        <v>0.12531818181818183</v>
      </c>
      <c r="AM16" s="159">
        <v>0.12536363636363637</v>
      </c>
      <c r="AN16" s="159">
        <v>0.12540909090909091</v>
      </c>
      <c r="AO16" s="159">
        <v>0.12545454545454546</v>
      </c>
      <c r="AP16" s="159">
        <v>0.1255</v>
      </c>
      <c r="AQ16" s="85"/>
      <c r="AR16" s="83"/>
    </row>
    <row r="17" spans="2:44" s="78" customFormat="1" x14ac:dyDescent="0.2">
      <c r="B17" s="91" t="s">
        <v>19</v>
      </c>
      <c r="C17" s="79">
        <f t="shared" ref="C17:N17" si="21">C7*AE17</f>
        <v>265.97999999999996</v>
      </c>
      <c r="D17" s="79">
        <f t="shared" si="21"/>
        <v>272.82388698347108</v>
      </c>
      <c r="E17" s="79">
        <f t="shared" si="21"/>
        <v>281.66346033057852</v>
      </c>
      <c r="F17" s="79">
        <f t="shared" si="21"/>
        <v>292.52115185950419</v>
      </c>
      <c r="G17" s="79">
        <f t="shared" si="21"/>
        <v>307.38359008264467</v>
      </c>
      <c r="H17" s="79">
        <f t="shared" si="21"/>
        <v>325.30997727272739</v>
      </c>
      <c r="I17" s="79">
        <f t="shared" si="21"/>
        <v>346.33425619834713</v>
      </c>
      <c r="J17" s="79">
        <f t="shared" si="21"/>
        <v>373.47031239669434</v>
      </c>
      <c r="K17" s="79">
        <f t="shared" si="21"/>
        <v>407.78314049586783</v>
      </c>
      <c r="L17" s="79">
        <f t="shared" si="21"/>
        <v>449.85263460743818</v>
      </c>
      <c r="M17" s="79">
        <f t="shared" si="21"/>
        <v>501.07015834710757</v>
      </c>
      <c r="N17" s="79">
        <f t="shared" si="21"/>
        <v>563.24026175000006</v>
      </c>
      <c r="O17" s="105">
        <f t="shared" si="2"/>
        <v>8.1574938324615598E-2</v>
      </c>
      <c r="P17" s="80"/>
      <c r="Q17" s="91" t="s">
        <v>19</v>
      </c>
      <c r="R17" s="81">
        <f t="shared" si="0"/>
        <v>2.5730833083206006</v>
      </c>
      <c r="S17" s="81">
        <f t="shared" si="5"/>
        <v>3.2400291062647968</v>
      </c>
      <c r="T17" s="81">
        <f t="shared" si="6"/>
        <v>3.8548456076561655</v>
      </c>
      <c r="U17" s="81">
        <f t="shared" si="7"/>
        <v>5.0808080470976735</v>
      </c>
      <c r="V17" s="81">
        <f t="shared" si="8"/>
        <v>5.8319271973051423</v>
      </c>
      <c r="W17" s="81">
        <f t="shared" si="9"/>
        <v>6.4628447924896637</v>
      </c>
      <c r="X17" s="81">
        <f t="shared" si="10"/>
        <v>7.8352215273808312</v>
      </c>
      <c r="Y17" s="81">
        <f t="shared" si="11"/>
        <v>9.187565104967943</v>
      </c>
      <c r="Z17" s="81">
        <f t="shared" si="12"/>
        <v>10.316633998260327</v>
      </c>
      <c r="AA17" s="81">
        <f t="shared" si="13"/>
        <v>11.385400417708812</v>
      </c>
      <c r="AB17" s="81">
        <f t="shared" si="15"/>
        <v>12.407464776584298</v>
      </c>
      <c r="AC17" s="112">
        <v>0.04</v>
      </c>
      <c r="AD17" s="91" t="s">
        <v>19</v>
      </c>
      <c r="AE17" s="82">
        <v>7.4399999999999994E-2</v>
      </c>
      <c r="AF17" s="82">
        <v>7.4554545454545457E-2</v>
      </c>
      <c r="AG17" s="82">
        <v>7.4709090909090906E-2</v>
      </c>
      <c r="AH17" s="82">
        <v>7.4863636363636368E-2</v>
      </c>
      <c r="AI17" s="82">
        <v>7.5018181818181817E-2</v>
      </c>
      <c r="AJ17" s="82">
        <v>7.517272727272728E-2</v>
      </c>
      <c r="AK17" s="82">
        <v>7.5327272727272729E-2</v>
      </c>
      <c r="AL17" s="82">
        <v>7.5481818181818192E-2</v>
      </c>
      <c r="AM17" s="82">
        <v>7.563636363636364E-2</v>
      </c>
      <c r="AN17" s="82">
        <v>7.5790909090909103E-2</v>
      </c>
      <c r="AO17" s="82">
        <v>7.5945454545454552E-2</v>
      </c>
      <c r="AP17" s="82">
        <v>7.6100000000000001E-2</v>
      </c>
      <c r="AQ17" s="85"/>
      <c r="AR17" s="83"/>
    </row>
    <row r="18" spans="2:44" s="78" customFormat="1" x14ac:dyDescent="0.2">
      <c r="B18" s="91" t="s">
        <v>8</v>
      </c>
      <c r="C18" s="79">
        <f t="shared" ref="C18:N18" si="22">C7*AE18</f>
        <v>198.77</v>
      </c>
      <c r="D18" s="79">
        <f t="shared" si="22"/>
        <v>203.76128615702484</v>
      </c>
      <c r="E18" s="79">
        <f t="shared" si="22"/>
        <v>210.23651322314055</v>
      </c>
      <c r="F18" s="79">
        <f t="shared" si="22"/>
        <v>218.20976756198354</v>
      </c>
      <c r="G18" s="79">
        <f t="shared" si="22"/>
        <v>229.15945785123972</v>
      </c>
      <c r="H18" s="79">
        <f t="shared" si="22"/>
        <v>242.37934090909096</v>
      </c>
      <c r="I18" s="79">
        <f t="shared" si="22"/>
        <v>257.89070247933887</v>
      </c>
      <c r="J18" s="79">
        <f t="shared" si="22"/>
        <v>277.93244132231411</v>
      </c>
      <c r="K18" s="79">
        <f t="shared" si="22"/>
        <v>303.28871074380169</v>
      </c>
      <c r="L18" s="79">
        <f t="shared" si="22"/>
        <v>334.38128543388439</v>
      </c>
      <c r="M18" s="79">
        <f t="shared" si="22"/>
        <v>372.23382842975218</v>
      </c>
      <c r="N18" s="79">
        <f t="shared" si="22"/>
        <v>418.17443875000009</v>
      </c>
      <c r="O18" s="105">
        <f t="shared" si="2"/>
        <v>8.1029167188950924E-2</v>
      </c>
      <c r="P18" s="80"/>
      <c r="Q18" s="91" t="s">
        <v>8</v>
      </c>
      <c r="R18" s="81">
        <f t="shared" si="0"/>
        <v>2.5110862590052907</v>
      </c>
      <c r="S18" s="81">
        <f t="shared" si="5"/>
        <v>3.177849525903409</v>
      </c>
      <c r="T18" s="81">
        <f t="shared" si="6"/>
        <v>3.7925164456948268</v>
      </c>
      <c r="U18" s="81">
        <f t="shared" si="7"/>
        <v>5.0179652412424058</v>
      </c>
      <c r="V18" s="81">
        <f t="shared" si="8"/>
        <v>5.7688577123589546</v>
      </c>
      <c r="W18" s="81">
        <f t="shared" si="9"/>
        <v>6.3996219777104457</v>
      </c>
      <c r="X18" s="81">
        <f t="shared" si="10"/>
        <v>7.771408061746965</v>
      </c>
      <c r="Y18" s="81">
        <f t="shared" si="11"/>
        <v>9.1231773091512878</v>
      </c>
      <c r="Z18" s="81">
        <f t="shared" si="12"/>
        <v>10.251807465510199</v>
      </c>
      <c r="AA18" s="81">
        <f t="shared" si="13"/>
        <v>11.320173898713048</v>
      </c>
      <c r="AB18" s="81">
        <f t="shared" si="15"/>
        <v>12.341868688841595</v>
      </c>
      <c r="AC18" s="112">
        <v>0.05</v>
      </c>
      <c r="AD18" s="91" t="s">
        <v>8</v>
      </c>
      <c r="AE18" s="84">
        <v>5.5600000000000004E-2</v>
      </c>
      <c r="AF18" s="84">
        <v>5.5681818181818186E-2</v>
      </c>
      <c r="AG18" s="84">
        <v>5.5763636363636369E-2</v>
      </c>
      <c r="AH18" s="84">
        <v>5.5845454545454552E-2</v>
      </c>
      <c r="AI18" s="84">
        <v>5.5927272727272735E-2</v>
      </c>
      <c r="AJ18" s="84">
        <v>5.6009090909090911E-2</v>
      </c>
      <c r="AK18" s="84">
        <v>5.6090909090909094E-2</v>
      </c>
      <c r="AL18" s="84">
        <v>5.6172727272727277E-2</v>
      </c>
      <c r="AM18" s="84">
        <v>5.625454545454546E-2</v>
      </c>
      <c r="AN18" s="84">
        <v>5.6336363636363643E-2</v>
      </c>
      <c r="AO18" s="84">
        <v>5.6418181818181826E-2</v>
      </c>
      <c r="AP18" s="84">
        <v>5.6500000000000009E-2</v>
      </c>
      <c r="AQ18" s="85"/>
      <c r="AR18" s="83"/>
    </row>
    <row r="19" spans="2:44" ht="13.5" customHeight="1" x14ac:dyDescent="0.2">
      <c r="B19" s="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6"/>
      <c r="P19" s="24"/>
      <c r="Q19" s="5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0"/>
      <c r="AC19" s="25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26"/>
      <c r="AR19" s="26"/>
    </row>
    <row r="20" spans="2:44" ht="15.5" customHeight="1" x14ac:dyDescent="0.2">
      <c r="B20" s="17" t="s">
        <v>20</v>
      </c>
      <c r="C20" s="18">
        <f t="shared" ref="C20:N20" si="23">C7</f>
        <v>3575</v>
      </c>
      <c r="D20" s="18">
        <f t="shared" si="23"/>
        <v>3659.386363636364</v>
      </c>
      <c r="E20" s="18">
        <f t="shared" si="23"/>
        <v>3770.136363636364</v>
      </c>
      <c r="F20" s="18">
        <f t="shared" si="23"/>
        <v>3907.3863636363644</v>
      </c>
      <c r="G20" s="18">
        <f t="shared" si="23"/>
        <v>4097.454545454546</v>
      </c>
      <c r="H20" s="18">
        <f t="shared" si="23"/>
        <v>4327.5000000000009</v>
      </c>
      <c r="I20" s="18">
        <f t="shared" si="23"/>
        <v>4597.727272727273</v>
      </c>
      <c r="J20" s="18">
        <f t="shared" si="23"/>
        <v>4947.8181818181829</v>
      </c>
      <c r="K20" s="18">
        <f t="shared" si="23"/>
        <v>5391.3636363636369</v>
      </c>
      <c r="L20" s="18">
        <f t="shared" si="23"/>
        <v>5935.4431818181829</v>
      </c>
      <c r="M20" s="18">
        <f t="shared" si="23"/>
        <v>6597.7636363636375</v>
      </c>
      <c r="N20" s="18">
        <f t="shared" si="23"/>
        <v>7401.3175000000001</v>
      </c>
      <c r="O20" s="19">
        <f>((N20/H20)^(1/7)-1)*100%</f>
        <v>7.9682330613216168E-2</v>
      </c>
      <c r="P20" s="24"/>
      <c r="Q20" s="17" t="s">
        <v>20</v>
      </c>
      <c r="R20" s="28">
        <f t="shared" ref="R20:AA27" si="24">(D20/C20-1)*100</f>
        <v>2.3604577240941005</v>
      </c>
      <c r="S20" s="28">
        <f t="shared" si="24"/>
        <v>3.0264637016886864</v>
      </c>
      <c r="T20" s="28">
        <f t="shared" si="24"/>
        <v>3.6404518765899674</v>
      </c>
      <c r="U20" s="28">
        <f t="shared" si="24"/>
        <v>4.8643303766177093</v>
      </c>
      <c r="V20" s="28">
        <f t="shared" si="24"/>
        <v>5.6143503727369648</v>
      </c>
      <c r="W20" s="28">
        <f t="shared" si="24"/>
        <v>6.2444199359277253</v>
      </c>
      <c r="X20" s="28">
        <f t="shared" si="24"/>
        <v>7.6144340088976969</v>
      </c>
      <c r="Y20" s="28">
        <f t="shared" si="24"/>
        <v>8.9644655128063633</v>
      </c>
      <c r="Z20" s="28">
        <f t="shared" si="24"/>
        <v>10.0916870415648</v>
      </c>
      <c r="AA20" s="28">
        <f t="shared" si="24"/>
        <v>11.158736327799668</v>
      </c>
      <c r="AB20" s="30">
        <f t="shared" ref="AB20:AB36" si="25">(N20/M20-1)*100</f>
        <v>12.179185371351696</v>
      </c>
      <c r="AC20" s="25"/>
      <c r="AD20" s="17" t="s">
        <v>20</v>
      </c>
      <c r="AE20" s="20">
        <v>1</v>
      </c>
      <c r="AF20" s="20">
        <v>1</v>
      </c>
      <c r="AG20" s="20">
        <v>1</v>
      </c>
      <c r="AH20" s="20">
        <v>1</v>
      </c>
      <c r="AI20" s="20">
        <v>1</v>
      </c>
      <c r="AJ20" s="20">
        <v>1</v>
      </c>
      <c r="AK20" s="20">
        <v>1</v>
      </c>
      <c r="AL20" s="20">
        <v>1</v>
      </c>
      <c r="AM20" s="20">
        <v>1</v>
      </c>
      <c r="AN20" s="20">
        <v>1</v>
      </c>
      <c r="AO20" s="20">
        <v>1</v>
      </c>
      <c r="AP20" s="20">
        <v>1</v>
      </c>
      <c r="AQ20" s="26"/>
      <c r="AR20" s="26"/>
    </row>
    <row r="21" spans="2:44" x14ac:dyDescent="0.2">
      <c r="B21" s="2" t="s">
        <v>21</v>
      </c>
      <c r="C21" s="21">
        <f>C20*AE21</f>
        <v>648.14749999999992</v>
      </c>
      <c r="D21" s="21">
        <f t="shared" ref="D21:N21" si="26">D20*AF21</f>
        <v>663.67961776859499</v>
      </c>
      <c r="E21" s="21">
        <f t="shared" si="26"/>
        <v>684.00555826446282</v>
      </c>
      <c r="F21" s="21">
        <f t="shared" si="26"/>
        <v>709.15510330578513</v>
      </c>
      <c r="G21" s="21">
        <f t="shared" si="26"/>
        <v>743.91149752066121</v>
      </c>
      <c r="H21" s="21">
        <f t="shared" si="26"/>
        <v>785.95268181818187</v>
      </c>
      <c r="I21" s="21">
        <f t="shared" si="26"/>
        <v>835.3234504132231</v>
      </c>
      <c r="J21" s="21">
        <f t="shared" si="26"/>
        <v>899.24346446280992</v>
      </c>
      <c r="K21" s="21">
        <f t="shared" si="26"/>
        <v>980.19892148760334</v>
      </c>
      <c r="L21" s="21">
        <f t="shared" si="26"/>
        <v>1079.4952390495869</v>
      </c>
      <c r="M21" s="21">
        <f t="shared" si="26"/>
        <v>1200.3731241322314</v>
      </c>
      <c r="N21" s="21">
        <f t="shared" si="26"/>
        <v>1347.0397849999999</v>
      </c>
      <c r="O21" s="19">
        <f t="shared" ref="O21:O36" si="27">((N21/H21)^(1/7)-1)*100%</f>
        <v>8.0006300222956961E-2</v>
      </c>
      <c r="P21" s="24"/>
      <c r="Q21" s="2" t="s">
        <v>21</v>
      </c>
      <c r="R21" s="30">
        <f t="shared" si="24"/>
        <v>2.3963862806838154</v>
      </c>
      <c r="S21" s="30">
        <f t="shared" si="24"/>
        <v>3.0626133380752485</v>
      </c>
      <c r="T21" s="30">
        <f t="shared" si="24"/>
        <v>3.6768041922253802</v>
      </c>
      <c r="U21" s="30">
        <f t="shared" si="24"/>
        <v>4.9010990759082551</v>
      </c>
      <c r="V21" s="30">
        <f t="shared" si="24"/>
        <v>5.6513690724820487</v>
      </c>
      <c r="W21" s="30">
        <f t="shared" si="24"/>
        <v>6.2816464320510246</v>
      </c>
      <c r="X21" s="30">
        <f t="shared" si="24"/>
        <v>7.6521273307922133</v>
      </c>
      <c r="Y21" s="30">
        <f t="shared" si="24"/>
        <v>9.0026183368654866</v>
      </c>
      <c r="Z21" s="30">
        <f t="shared" si="24"/>
        <v>10.130221058730204</v>
      </c>
      <c r="AA21" s="30">
        <f t="shared" si="24"/>
        <v>11.197630217347543</v>
      </c>
      <c r="AB21" s="30">
        <f t="shared" si="25"/>
        <v>12.218422582044752</v>
      </c>
      <c r="AC21" s="25">
        <v>0.03</v>
      </c>
      <c r="AD21" s="2" t="s">
        <v>21</v>
      </c>
      <c r="AE21" s="145">
        <v>0.18129999999999999</v>
      </c>
      <c r="AF21" s="145">
        <v>0.18136363636363634</v>
      </c>
      <c r="AG21" s="145">
        <v>0.18142727272727271</v>
      </c>
      <c r="AH21" s="145">
        <v>0.18149090909090906</v>
      </c>
      <c r="AI21" s="145">
        <v>0.18155454545454544</v>
      </c>
      <c r="AJ21" s="145">
        <v>0.18161818181818179</v>
      </c>
      <c r="AK21" s="145">
        <v>0.18168181818181817</v>
      </c>
      <c r="AL21" s="145">
        <v>0.18174545454545452</v>
      </c>
      <c r="AM21" s="145">
        <v>0.18180909090909089</v>
      </c>
      <c r="AN21" s="145">
        <v>0.18187272727272724</v>
      </c>
      <c r="AO21" s="145">
        <v>0.18193636363636362</v>
      </c>
      <c r="AP21" s="145">
        <v>0.182</v>
      </c>
      <c r="AQ21" s="26"/>
      <c r="AR21" s="23"/>
    </row>
    <row r="22" spans="2:44" ht="15" customHeight="1" x14ac:dyDescent="0.2">
      <c r="B22" s="5" t="s">
        <v>22</v>
      </c>
      <c r="C22" s="21">
        <f>C20*AE22</f>
        <v>493.35</v>
      </c>
      <c r="D22" s="21">
        <f t="shared" ref="D22:N22" si="28">D20*AF22</f>
        <v>505.32798966942158</v>
      </c>
      <c r="E22" s="21">
        <f t="shared" si="28"/>
        <v>520.96429752066126</v>
      </c>
      <c r="F22" s="21">
        <f t="shared" si="28"/>
        <v>540.28496900826462</v>
      </c>
      <c r="G22" s="21">
        <f t="shared" si="28"/>
        <v>566.93871074380183</v>
      </c>
      <c r="H22" s="21">
        <f t="shared" si="28"/>
        <v>599.16204545454559</v>
      </c>
      <c r="I22" s="21">
        <f t="shared" si="28"/>
        <v>636.99421487603308</v>
      </c>
      <c r="J22" s="21">
        <f t="shared" si="28"/>
        <v>685.94752066115723</v>
      </c>
      <c r="K22" s="21">
        <f t="shared" si="28"/>
        <v>747.92917355371924</v>
      </c>
      <c r="L22" s="21">
        <f t="shared" si="28"/>
        <v>823.9474307851242</v>
      </c>
      <c r="M22" s="21">
        <f t="shared" si="28"/>
        <v>916.48934876033081</v>
      </c>
      <c r="N22" s="21">
        <f t="shared" si="28"/>
        <v>1028.7831325000002</v>
      </c>
      <c r="O22" s="19">
        <f t="shared" si="27"/>
        <v>8.0288951285686583E-2</v>
      </c>
      <c r="P22" s="24"/>
      <c r="Q22" s="5" t="s">
        <v>22</v>
      </c>
      <c r="R22" s="30">
        <f t="shared" si="24"/>
        <v>2.4278888556646505</v>
      </c>
      <c r="S22" s="30">
        <f t="shared" si="24"/>
        <v>3.094288891749053</v>
      </c>
      <c r="T22" s="30">
        <f t="shared" si="24"/>
        <v>3.7086363844035075</v>
      </c>
      <c r="U22" s="30">
        <f t="shared" si="24"/>
        <v>4.9332747095411911</v>
      </c>
      <c r="V22" s="30">
        <f t="shared" si="24"/>
        <v>5.6837421929555543</v>
      </c>
      <c r="W22" s="30">
        <f t="shared" si="24"/>
        <v>6.3141798964897244</v>
      </c>
      <c r="X22" s="30">
        <f t="shared" si="24"/>
        <v>7.6850471545728327</v>
      </c>
      <c r="Y22" s="30">
        <f t="shared" si="24"/>
        <v>9.0359176213393724</v>
      </c>
      <c r="Z22" s="30">
        <f t="shared" si="24"/>
        <v>10.163831004239476</v>
      </c>
      <c r="AA22" s="30">
        <f t="shared" si="24"/>
        <v>11.231531832925935</v>
      </c>
      <c r="AB22" s="30">
        <f t="shared" si="25"/>
        <v>12.25260106858428</v>
      </c>
      <c r="AC22" s="25">
        <v>0.04</v>
      </c>
      <c r="AD22" s="5" t="s">
        <v>22</v>
      </c>
      <c r="AE22" s="145">
        <v>0.13800000000000001</v>
      </c>
      <c r="AF22" s="145">
        <v>0.1380909090909091</v>
      </c>
      <c r="AG22" s="145">
        <v>0.13818181818181821</v>
      </c>
      <c r="AH22" s="145">
        <v>0.1382727272727273</v>
      </c>
      <c r="AI22" s="145">
        <v>0.13836363636363638</v>
      </c>
      <c r="AJ22" s="145">
        <v>0.13845454545454547</v>
      </c>
      <c r="AK22" s="145">
        <v>0.13854545454545455</v>
      </c>
      <c r="AL22" s="145">
        <v>0.13863636363636364</v>
      </c>
      <c r="AM22" s="145">
        <v>0.13872727272727275</v>
      </c>
      <c r="AN22" s="145">
        <v>0.13881818181818184</v>
      </c>
      <c r="AO22" s="145">
        <v>0.13890909090909093</v>
      </c>
      <c r="AP22" s="145">
        <v>0.13900000000000001</v>
      </c>
      <c r="AQ22" s="26"/>
      <c r="AR22" s="23"/>
    </row>
    <row r="23" spans="2:44" s="115" customFormat="1" ht="15" customHeight="1" x14ac:dyDescent="0.2">
      <c r="B23" s="99" t="s">
        <v>23</v>
      </c>
      <c r="C23" s="130">
        <f>C20*AE23</f>
        <v>758.97250000000008</v>
      </c>
      <c r="D23" s="130">
        <f t="shared" ref="D23:N23" si="29">D20*AF23</f>
        <v>776.1225805785125</v>
      </c>
      <c r="E23" s="130">
        <f t="shared" si="29"/>
        <v>798.82334752066129</v>
      </c>
      <c r="F23" s="130">
        <f t="shared" si="29"/>
        <v>827.08712809917381</v>
      </c>
      <c r="G23" s="130">
        <f t="shared" si="29"/>
        <v>866.46263801652913</v>
      </c>
      <c r="H23" s="130">
        <f t="shared" si="29"/>
        <v>914.20404545454574</v>
      </c>
      <c r="I23" s="130">
        <f t="shared" si="29"/>
        <v>970.32944214876045</v>
      </c>
      <c r="J23" s="130">
        <f t="shared" si="29"/>
        <v>1043.1799933884301</v>
      </c>
      <c r="K23" s="130">
        <f t="shared" si="29"/>
        <v>1135.5682190082646</v>
      </c>
      <c r="L23" s="130">
        <f t="shared" si="29"/>
        <v>1248.925162603306</v>
      </c>
      <c r="M23" s="130">
        <f t="shared" si="29"/>
        <v>1386.9098960330582</v>
      </c>
      <c r="N23" s="130">
        <f t="shared" si="29"/>
        <v>1554.2766750000001</v>
      </c>
      <c r="O23" s="98">
        <f t="shared" si="27"/>
        <v>7.8764027030239214E-2</v>
      </c>
      <c r="P23" s="132"/>
      <c r="Q23" s="99" t="s">
        <v>23</v>
      </c>
      <c r="R23" s="133">
        <f t="shared" si="24"/>
        <v>2.2596445297441425</v>
      </c>
      <c r="S23" s="133">
        <f t="shared" ref="S23:S27" si="30">(E23/D23-1)*100</f>
        <v>2.9248945347303046</v>
      </c>
      <c r="T23" s="133">
        <f t="shared" ref="T23:T27" si="31">(F23/E23-1)*100</f>
        <v>3.5381765776170582</v>
      </c>
      <c r="U23" s="133">
        <f t="shared" ref="U23:U27" si="32">(G23/F23-1)*100</f>
        <v>4.7607450992314115</v>
      </c>
      <c r="V23" s="133">
        <f t="shared" ref="V23:V27" si="33">(H23/G23-1)*100</f>
        <v>5.5099210679532939</v>
      </c>
      <c r="W23" s="133">
        <f t="shared" ref="W23:W27" si="34">(I23/H23-1)*100</f>
        <v>6.139263654899807</v>
      </c>
      <c r="X23" s="133">
        <f t="shared" ref="X23:X27" si="35">(J23/I23-1)*100</f>
        <v>7.5078162194424092</v>
      </c>
      <c r="Y23" s="133">
        <f t="shared" ref="Y23:Y27" si="36">(K23/J23-1)*100</f>
        <v>8.8564031332446724</v>
      </c>
      <c r="Z23" s="133">
        <f t="shared" ref="Z23:Z27" si="37">(L23/K23-1)*100</f>
        <v>9.9823983885389609</v>
      </c>
      <c r="AA23" s="133">
        <f t="shared" ref="AA23:AA27" si="38">(M23/L23-1)*100</f>
        <v>11.048278756921803</v>
      </c>
      <c r="AB23" s="133">
        <f t="shared" si="25"/>
        <v>12.067602909580266</v>
      </c>
      <c r="AC23" s="74">
        <v>0.01</v>
      </c>
      <c r="AD23" s="99" t="s">
        <v>23</v>
      </c>
      <c r="AE23" s="76">
        <v>0.21230000000000002</v>
      </c>
      <c r="AF23" s="76">
        <v>0.21209090909090911</v>
      </c>
      <c r="AG23" s="76">
        <v>0.2118818181818182</v>
      </c>
      <c r="AH23" s="76">
        <v>0.21167272727272729</v>
      </c>
      <c r="AI23" s="76">
        <v>0.21146363636363638</v>
      </c>
      <c r="AJ23" s="76">
        <v>0.21125454545454547</v>
      </c>
      <c r="AK23" s="76">
        <v>0.21104545454545456</v>
      </c>
      <c r="AL23" s="76">
        <v>0.21083636363636366</v>
      </c>
      <c r="AM23" s="76">
        <v>0.21062727272727275</v>
      </c>
      <c r="AN23" s="76">
        <v>0.21041818181818184</v>
      </c>
      <c r="AO23" s="76">
        <v>0.21020909090909093</v>
      </c>
      <c r="AP23" s="76">
        <v>0.21000000000000002</v>
      </c>
      <c r="AQ23" s="136"/>
      <c r="AR23" s="154"/>
    </row>
    <row r="24" spans="2:44" ht="15" customHeight="1" x14ac:dyDescent="0.2">
      <c r="B24" s="5" t="s">
        <v>24</v>
      </c>
      <c r="C24" s="21">
        <f>C20*AE24</f>
        <v>437.9375</v>
      </c>
      <c r="D24" s="21">
        <f t="shared" ref="D24:N24" si="39">D20*AF24</f>
        <v>448.44116528925622</v>
      </c>
      <c r="E24" s="21">
        <f t="shared" si="39"/>
        <v>462.18444421487612</v>
      </c>
      <c r="F24" s="21">
        <f t="shared" si="39"/>
        <v>479.1876549586778</v>
      </c>
      <c r="G24" s="21">
        <f t="shared" si="39"/>
        <v>502.68317355371909</v>
      </c>
      <c r="H24" s="21">
        <f t="shared" si="39"/>
        <v>531.10227272727286</v>
      </c>
      <c r="I24" s="21">
        <f t="shared" si="39"/>
        <v>564.4755165289256</v>
      </c>
      <c r="J24" s="21">
        <f t="shared" si="39"/>
        <v>607.6820330578513</v>
      </c>
      <c r="K24" s="21">
        <f t="shared" si="39"/>
        <v>662.40254132231416</v>
      </c>
      <c r="L24" s="21">
        <f t="shared" si="39"/>
        <v>729.51992561983491</v>
      </c>
      <c r="M24" s="21">
        <f t="shared" si="39"/>
        <v>811.22502892561999</v>
      </c>
      <c r="N24" s="21">
        <f t="shared" si="39"/>
        <v>910.3620525</v>
      </c>
      <c r="O24" s="19">
        <f t="shared" si="27"/>
        <v>8.0024760922433602E-2</v>
      </c>
      <c r="P24" s="24"/>
      <c r="Q24" s="5" t="s">
        <v>24</v>
      </c>
      <c r="R24" s="30">
        <f t="shared" si="24"/>
        <v>2.3984393410603655</v>
      </c>
      <c r="S24" s="30">
        <f t="shared" si="30"/>
        <v>3.0646782653762639</v>
      </c>
      <c r="T24" s="30">
        <f t="shared" si="31"/>
        <v>3.6788799269706018</v>
      </c>
      <c r="U24" s="30">
        <f t="shared" si="32"/>
        <v>4.9031978081879757</v>
      </c>
      <c r="V24" s="30">
        <f t="shared" si="33"/>
        <v>5.6534812917339083</v>
      </c>
      <c r="W24" s="30">
        <f t="shared" si="34"/>
        <v>6.2837697210891497</v>
      </c>
      <c r="X24" s="30">
        <f t="shared" si="35"/>
        <v>7.6542764502190108</v>
      </c>
      <c r="Y24" s="30">
        <f t="shared" si="36"/>
        <v>9.0047928501538301</v>
      </c>
      <c r="Z24" s="30">
        <f t="shared" si="37"/>
        <v>10.132416485531337</v>
      </c>
      <c r="AA24" s="30">
        <f t="shared" si="38"/>
        <v>11.199845327920887</v>
      </c>
      <c r="AB24" s="30">
        <f t="shared" si="25"/>
        <v>12.220656419548126</v>
      </c>
      <c r="AC24" s="25">
        <v>0.05</v>
      </c>
      <c r="AD24" s="5" t="s">
        <v>24</v>
      </c>
      <c r="AE24" s="145">
        <v>0.1225</v>
      </c>
      <c r="AF24" s="145">
        <v>0.12254545454545454</v>
      </c>
      <c r="AG24" s="145">
        <v>0.1225909090909091</v>
      </c>
      <c r="AH24" s="145">
        <v>0.12263636363636364</v>
      </c>
      <c r="AI24" s="145">
        <v>0.12268181818181818</v>
      </c>
      <c r="AJ24" s="145">
        <v>0.12272727272727273</v>
      </c>
      <c r="AK24" s="145">
        <v>0.12277272727272727</v>
      </c>
      <c r="AL24" s="145">
        <v>0.12281818181818181</v>
      </c>
      <c r="AM24" s="145">
        <v>0.12286363636363637</v>
      </c>
      <c r="AN24" s="145">
        <v>0.12290909090909091</v>
      </c>
      <c r="AO24" s="145">
        <v>0.12295454545454546</v>
      </c>
      <c r="AP24" s="145">
        <v>0.123</v>
      </c>
      <c r="AQ24" s="26"/>
      <c r="AR24" s="23"/>
    </row>
    <row r="25" spans="2:44" s="115" customFormat="1" ht="15" customHeight="1" x14ac:dyDescent="0.2">
      <c r="B25" s="99" t="s">
        <v>25</v>
      </c>
      <c r="C25" s="130">
        <f>C20*AE25</f>
        <v>723.9375</v>
      </c>
      <c r="D25" s="130">
        <f t="shared" ref="D25:N25" si="40">D20*AF25</f>
        <v>740.19405991735539</v>
      </c>
      <c r="E25" s="130">
        <f t="shared" si="40"/>
        <v>761.73891528925628</v>
      </c>
      <c r="F25" s="130">
        <f t="shared" si="40"/>
        <v>788.58161157024813</v>
      </c>
      <c r="G25" s="130">
        <f t="shared" si="40"/>
        <v>826.00958677685958</v>
      </c>
      <c r="H25" s="130">
        <f t="shared" si="40"/>
        <v>871.40113636363651</v>
      </c>
      <c r="I25" s="130">
        <f t="shared" si="40"/>
        <v>924.77014462809927</v>
      </c>
      <c r="J25" s="130">
        <f t="shared" si="40"/>
        <v>994.06165289256217</v>
      </c>
      <c r="K25" s="130">
        <f t="shared" si="40"/>
        <v>1081.9486570247934</v>
      </c>
      <c r="L25" s="130">
        <f t="shared" si="40"/>
        <v>1189.7865650826448</v>
      </c>
      <c r="M25" s="130">
        <f t="shared" si="40"/>
        <v>1321.0522190082647</v>
      </c>
      <c r="N25" s="130">
        <f t="shared" si="40"/>
        <v>1480.2635</v>
      </c>
      <c r="O25" s="98">
        <f t="shared" si="27"/>
        <v>7.8634769424827056E-2</v>
      </c>
      <c r="P25" s="132"/>
      <c r="Q25" s="99" t="s">
        <v>25</v>
      </c>
      <c r="R25" s="133">
        <f t="shared" si="24"/>
        <v>2.2455750554924103</v>
      </c>
      <c r="S25" s="133">
        <f t="shared" si="30"/>
        <v>2.9107036301137645</v>
      </c>
      <c r="T25" s="133">
        <f t="shared" si="31"/>
        <v>3.5238709408457636</v>
      </c>
      <c r="U25" s="133">
        <f t="shared" si="32"/>
        <v>4.7462399144818646</v>
      </c>
      <c r="V25" s="133">
        <f t="shared" si="33"/>
        <v>5.4952812065895751</v>
      </c>
      <c r="W25" s="133">
        <f t="shared" si="34"/>
        <v>6.124505240740441</v>
      </c>
      <c r="X25" s="133">
        <f t="shared" si="35"/>
        <v>7.4928357783791588</v>
      </c>
      <c r="Y25" s="133">
        <f t="shared" si="36"/>
        <v>8.8412025427692562</v>
      </c>
      <c r="Z25" s="133">
        <f t="shared" si="37"/>
        <v>9.9670078942923688</v>
      </c>
      <c r="AA25" s="133">
        <f t="shared" si="38"/>
        <v>11.032706014502857</v>
      </c>
      <c r="AB25" s="133">
        <f t="shared" si="25"/>
        <v>12.051853719397855</v>
      </c>
      <c r="AC25" s="74">
        <v>0.02</v>
      </c>
      <c r="AD25" s="99" t="s">
        <v>25</v>
      </c>
      <c r="AE25" s="76">
        <v>0.20250000000000001</v>
      </c>
      <c r="AF25" s="76">
        <v>0.20227272727272727</v>
      </c>
      <c r="AG25" s="76">
        <v>0.20204545454545456</v>
      </c>
      <c r="AH25" s="76">
        <v>0.20181818181818181</v>
      </c>
      <c r="AI25" s="76">
        <v>0.2015909090909091</v>
      </c>
      <c r="AJ25" s="76">
        <v>0.20136363636363636</v>
      </c>
      <c r="AK25" s="76">
        <v>0.20113636363636364</v>
      </c>
      <c r="AL25" s="76">
        <v>0.2009090909090909</v>
      </c>
      <c r="AM25" s="76">
        <v>0.20068181818181818</v>
      </c>
      <c r="AN25" s="76">
        <v>0.20045454545454544</v>
      </c>
      <c r="AO25" s="76">
        <v>0.20022727272727273</v>
      </c>
      <c r="AP25" s="76">
        <v>0.2</v>
      </c>
      <c r="AQ25" s="136"/>
      <c r="AR25" s="154"/>
    </row>
    <row r="26" spans="2:44" ht="15" customHeight="1" x14ac:dyDescent="0.2">
      <c r="B26" s="5" t="s">
        <v>26</v>
      </c>
      <c r="C26" s="21">
        <f>C20*AE26</f>
        <v>305.30500000000001</v>
      </c>
      <c r="D26" s="21">
        <f t="shared" ref="D26:N26" si="41">D20*AF26</f>
        <v>312.71119834710743</v>
      </c>
      <c r="E26" s="21">
        <f t="shared" si="41"/>
        <v>322.38093305785128</v>
      </c>
      <c r="F26" s="21">
        <f t="shared" si="41"/>
        <v>334.33018595041324</v>
      </c>
      <c r="G26" s="21">
        <f t="shared" si="41"/>
        <v>350.81660826446284</v>
      </c>
      <c r="H26" s="21">
        <f t="shared" si="41"/>
        <v>370.74872727272731</v>
      </c>
      <c r="I26" s="21">
        <f t="shared" si="41"/>
        <v>394.15061983471071</v>
      </c>
      <c r="J26" s="21">
        <f t="shared" si="41"/>
        <v>424.43283966942153</v>
      </c>
      <c r="K26" s="21">
        <f t="shared" si="41"/>
        <v>462.77504958677684</v>
      </c>
      <c r="L26" s="21">
        <f t="shared" si="41"/>
        <v>509.80061074380166</v>
      </c>
      <c r="M26" s="21">
        <f t="shared" si="41"/>
        <v>567.0477947107438</v>
      </c>
      <c r="N26" s="21">
        <f t="shared" si="41"/>
        <v>636.51330499999995</v>
      </c>
      <c r="O26" s="19">
        <f t="shared" si="27"/>
        <v>8.0270571578771932E-2</v>
      </c>
      <c r="P26" s="24"/>
      <c r="Q26" s="5" t="s">
        <v>26</v>
      </c>
      <c r="R26" s="30">
        <f t="shared" si="24"/>
        <v>2.4258359172327326</v>
      </c>
      <c r="S26" s="30">
        <f t="shared" si="30"/>
        <v>3.0922252742642486</v>
      </c>
      <c r="T26" s="30">
        <f t="shared" si="31"/>
        <v>3.7065631578210301</v>
      </c>
      <c r="U26" s="30">
        <f t="shared" si="32"/>
        <v>4.9311797159993231</v>
      </c>
      <c r="V26" s="30">
        <f t="shared" si="33"/>
        <v>5.6816349450704129</v>
      </c>
      <c r="W26" s="30">
        <f t="shared" si="34"/>
        <v>6.3120628178903182</v>
      </c>
      <c r="X26" s="30">
        <f t="shared" si="35"/>
        <v>7.6829055469733509</v>
      </c>
      <c r="Y26" s="30">
        <f t="shared" si="36"/>
        <v>9.0337519470027328</v>
      </c>
      <c r="Z26" s="30">
        <f t="shared" si="37"/>
        <v>10.161645749703908</v>
      </c>
      <c r="AA26" s="30">
        <f t="shared" si="38"/>
        <v>11.229328243333846</v>
      </c>
      <c r="AB26" s="30">
        <f t="shared" si="25"/>
        <v>12.250380115611081</v>
      </c>
      <c r="AC26" s="25">
        <v>0.06</v>
      </c>
      <c r="AD26" s="5" t="s">
        <v>26</v>
      </c>
      <c r="AE26" s="145">
        <v>8.5400000000000004E-2</v>
      </c>
      <c r="AF26" s="145">
        <v>8.545454545454545E-2</v>
      </c>
      <c r="AG26" s="145">
        <v>8.550909090909091E-2</v>
      </c>
      <c r="AH26" s="145">
        <v>8.5563636363636356E-2</v>
      </c>
      <c r="AI26" s="145">
        <v>8.5618181818181816E-2</v>
      </c>
      <c r="AJ26" s="145">
        <v>8.5672727272727262E-2</v>
      </c>
      <c r="AK26" s="145">
        <v>8.5727272727272721E-2</v>
      </c>
      <c r="AL26" s="145">
        <v>8.5781818181818167E-2</v>
      </c>
      <c r="AM26" s="145">
        <v>8.5836363636363627E-2</v>
      </c>
      <c r="AN26" s="145">
        <v>8.5890909090909073E-2</v>
      </c>
      <c r="AO26" s="145">
        <v>8.5945454545454533E-2</v>
      </c>
      <c r="AP26" s="145">
        <v>8.5999999999999993E-2</v>
      </c>
      <c r="AQ26" s="26"/>
      <c r="AR26" s="23"/>
    </row>
    <row r="27" spans="2:44" ht="15" customHeight="1" x14ac:dyDescent="0.2">
      <c r="B27" s="5" t="s">
        <v>8</v>
      </c>
      <c r="C27" s="21">
        <f t="shared" ref="C27:N27" si="42">C20*AE27</f>
        <v>207.35</v>
      </c>
      <c r="D27" s="21">
        <f t="shared" si="42"/>
        <v>212.90975206611571</v>
      </c>
      <c r="E27" s="21">
        <f t="shared" si="42"/>
        <v>220.03886776859505</v>
      </c>
      <c r="F27" s="21">
        <f t="shared" si="42"/>
        <v>228.75971074380166</v>
      </c>
      <c r="G27" s="21">
        <f t="shared" si="42"/>
        <v>240.63233057851241</v>
      </c>
      <c r="H27" s="21">
        <f t="shared" si="42"/>
        <v>254.92909090909095</v>
      </c>
      <c r="I27" s="21">
        <f t="shared" si="42"/>
        <v>271.68388429752065</v>
      </c>
      <c r="J27" s="21">
        <f t="shared" si="42"/>
        <v>293.27067768595043</v>
      </c>
      <c r="K27" s="21">
        <f t="shared" si="42"/>
        <v>320.5410743801653</v>
      </c>
      <c r="L27" s="21">
        <f t="shared" si="42"/>
        <v>353.96824793388436</v>
      </c>
      <c r="M27" s="21">
        <f t="shared" si="42"/>
        <v>394.66622479338844</v>
      </c>
      <c r="N27" s="21">
        <f t="shared" si="42"/>
        <v>444.07904999999994</v>
      </c>
      <c r="O27" s="19">
        <f t="shared" si="27"/>
        <v>8.2516220493551673E-2</v>
      </c>
      <c r="P27" s="24"/>
      <c r="Q27" s="5" t="s">
        <v>8</v>
      </c>
      <c r="R27" s="30">
        <f t="shared" si="24"/>
        <v>2.6813369019125677</v>
      </c>
      <c r="S27" s="30">
        <f t="shared" si="30"/>
        <v>3.3484214007564628</v>
      </c>
      <c r="T27" s="30">
        <f t="shared" si="31"/>
        <v>3.9633193279188905</v>
      </c>
      <c r="U27" s="30">
        <f t="shared" si="32"/>
        <v>5.1899959989053501</v>
      </c>
      <c r="V27" s="30">
        <f t="shared" si="33"/>
        <v>5.9413297856556468</v>
      </c>
      <c r="W27" s="30">
        <f t="shared" si="34"/>
        <v>6.5723348122731728</v>
      </c>
      <c r="X27" s="30">
        <f t="shared" si="35"/>
        <v>7.9455553443096738</v>
      </c>
      <c r="Y27" s="30">
        <f t="shared" si="36"/>
        <v>9.2987123395327664</v>
      </c>
      <c r="Z27" s="30">
        <f t="shared" si="37"/>
        <v>10.428358867379984</v>
      </c>
      <c r="AA27" s="30">
        <f t="shared" si="38"/>
        <v>11.497634914164912</v>
      </c>
      <c r="AB27" s="30">
        <f t="shared" si="25"/>
        <v>12.520155539653688</v>
      </c>
      <c r="AC27" s="25">
        <v>7.0000000000000007E-2</v>
      </c>
      <c r="AD27" s="5" t="s">
        <v>8</v>
      </c>
      <c r="AE27" s="145">
        <v>5.7999999999999996E-2</v>
      </c>
      <c r="AF27" s="145">
        <v>5.8181818181818182E-2</v>
      </c>
      <c r="AG27" s="145">
        <v>5.8363636363636361E-2</v>
      </c>
      <c r="AH27" s="145">
        <v>5.8545454545454539E-2</v>
      </c>
      <c r="AI27" s="145">
        <v>5.8727272727272725E-2</v>
      </c>
      <c r="AJ27" s="145">
        <v>5.8909090909090904E-2</v>
      </c>
      <c r="AK27" s="145">
        <v>5.909090909090909E-2</v>
      </c>
      <c r="AL27" s="145">
        <v>5.9272727272727269E-2</v>
      </c>
      <c r="AM27" s="145">
        <v>5.9454545454545447E-2</v>
      </c>
      <c r="AN27" s="145">
        <v>5.9636363636363633E-2</v>
      </c>
      <c r="AO27" s="145">
        <v>5.9818181818181812E-2</v>
      </c>
      <c r="AP27" s="145">
        <v>5.9999999999999991E-2</v>
      </c>
      <c r="AQ27" s="26"/>
      <c r="AR27" s="23"/>
    </row>
    <row r="28" spans="2:44" x14ac:dyDescent="0.2">
      <c r="B28" s="8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6"/>
      <c r="P28" s="24"/>
      <c r="Q28" s="8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0"/>
      <c r="AC28" s="25"/>
      <c r="AD28" s="8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26"/>
      <c r="AR28" s="26"/>
    </row>
    <row r="29" spans="2:44" x14ac:dyDescent="0.2">
      <c r="B29" s="17" t="s">
        <v>1</v>
      </c>
      <c r="C29" s="18">
        <f t="shared" ref="C29:N29" si="43">C20</f>
        <v>3575</v>
      </c>
      <c r="D29" s="18">
        <f t="shared" si="43"/>
        <v>3659.386363636364</v>
      </c>
      <c r="E29" s="18">
        <f t="shared" si="43"/>
        <v>3770.136363636364</v>
      </c>
      <c r="F29" s="18">
        <f t="shared" si="43"/>
        <v>3907.3863636363644</v>
      </c>
      <c r="G29" s="18">
        <f t="shared" si="43"/>
        <v>4097.454545454546</v>
      </c>
      <c r="H29" s="18">
        <f t="shared" si="43"/>
        <v>4327.5000000000009</v>
      </c>
      <c r="I29" s="18">
        <f t="shared" si="43"/>
        <v>4597.727272727273</v>
      </c>
      <c r="J29" s="18">
        <f t="shared" si="43"/>
        <v>4947.8181818181829</v>
      </c>
      <c r="K29" s="18">
        <f t="shared" si="43"/>
        <v>5391.3636363636369</v>
      </c>
      <c r="L29" s="18">
        <f t="shared" si="43"/>
        <v>5935.4431818181829</v>
      </c>
      <c r="M29" s="18">
        <f t="shared" si="43"/>
        <v>6597.7636363636375</v>
      </c>
      <c r="N29" s="18">
        <f t="shared" si="43"/>
        <v>7401.3175000000001</v>
      </c>
      <c r="O29" s="19">
        <f t="shared" si="27"/>
        <v>7.9682330613216168E-2</v>
      </c>
      <c r="P29" s="24"/>
      <c r="Q29" s="17" t="s">
        <v>1</v>
      </c>
      <c r="R29" s="28">
        <f t="shared" ref="R29:AA36" si="44">(D29/C29-1)*100</f>
        <v>2.3604577240941005</v>
      </c>
      <c r="S29" s="28">
        <f t="shared" si="44"/>
        <v>3.0264637016886864</v>
      </c>
      <c r="T29" s="28">
        <f t="shared" si="44"/>
        <v>3.6404518765899674</v>
      </c>
      <c r="U29" s="28">
        <f t="shared" si="44"/>
        <v>4.8643303766177093</v>
      </c>
      <c r="V29" s="28">
        <f t="shared" si="44"/>
        <v>5.6143503727369648</v>
      </c>
      <c r="W29" s="28">
        <f t="shared" si="44"/>
        <v>6.2444199359277253</v>
      </c>
      <c r="X29" s="28">
        <f t="shared" si="44"/>
        <v>7.6144340088976969</v>
      </c>
      <c r="Y29" s="28">
        <f t="shared" si="44"/>
        <v>8.9644655128063633</v>
      </c>
      <c r="Z29" s="28">
        <f t="shared" si="44"/>
        <v>10.0916870415648</v>
      </c>
      <c r="AA29" s="28">
        <f t="shared" si="44"/>
        <v>11.158736327799668</v>
      </c>
      <c r="AB29" s="30">
        <f t="shared" si="25"/>
        <v>12.179185371351696</v>
      </c>
      <c r="AC29" s="25"/>
      <c r="AD29" s="17" t="s">
        <v>1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J29" s="20">
        <v>1</v>
      </c>
      <c r="AK29" s="20">
        <v>1</v>
      </c>
      <c r="AL29" s="20">
        <v>1</v>
      </c>
      <c r="AM29" s="20">
        <v>1</v>
      </c>
      <c r="AN29" s="20">
        <v>1</v>
      </c>
      <c r="AO29" s="20">
        <v>1</v>
      </c>
      <c r="AP29" s="20">
        <v>1</v>
      </c>
      <c r="AQ29" s="26"/>
      <c r="AR29" s="26"/>
    </row>
    <row r="30" spans="2:44" s="115" customFormat="1" x14ac:dyDescent="0.2">
      <c r="B30" s="115" t="s">
        <v>56</v>
      </c>
      <c r="C30" s="130">
        <f>C29*AE30</f>
        <v>734.66249999999991</v>
      </c>
      <c r="D30" s="130">
        <f t="shared" ref="D30:N30" si="45">D29*AF30</f>
        <v>750.50687603305789</v>
      </c>
      <c r="E30" s="130">
        <f t="shared" si="45"/>
        <v>771.67836570247937</v>
      </c>
      <c r="F30" s="130">
        <f t="shared" si="45"/>
        <v>798.17246900826456</v>
      </c>
      <c r="G30" s="130">
        <f t="shared" si="45"/>
        <v>835.3219834710743</v>
      </c>
      <c r="H30" s="130">
        <f t="shared" si="45"/>
        <v>880.44954545454561</v>
      </c>
      <c r="I30" s="130">
        <f t="shared" si="45"/>
        <v>933.54762396694207</v>
      </c>
      <c r="J30" s="130">
        <f t="shared" si="45"/>
        <v>1002.6078842975207</v>
      </c>
      <c r="K30" s="130">
        <f t="shared" si="45"/>
        <v>1090.2807644628099</v>
      </c>
      <c r="L30" s="130">
        <f t="shared" si="45"/>
        <v>1197.8803512396696</v>
      </c>
      <c r="M30" s="130">
        <f t="shared" si="45"/>
        <v>1328.8495760330579</v>
      </c>
      <c r="N30" s="130">
        <f t="shared" si="45"/>
        <v>1487.6648174999998</v>
      </c>
      <c r="O30" s="98">
        <f t="shared" si="27"/>
        <v>7.7811828642738279E-2</v>
      </c>
      <c r="P30" s="132"/>
      <c r="Q30" s="115" t="s">
        <v>56</v>
      </c>
      <c r="R30" s="133">
        <f t="shared" si="44"/>
        <v>2.1566877352604763</v>
      </c>
      <c r="S30" s="133">
        <f t="shared" si="44"/>
        <v>2.8209587873901043</v>
      </c>
      <c r="T30" s="133">
        <f t="shared" si="44"/>
        <v>3.4333090680424672</v>
      </c>
      <c r="U30" s="133">
        <f t="shared" si="44"/>
        <v>4.6543217043013563</v>
      </c>
      <c r="V30" s="133">
        <f t="shared" si="44"/>
        <v>5.4024152214873444</v>
      </c>
      <c r="W30" s="133">
        <f t="shared" si="44"/>
        <v>6.0307917457080196</v>
      </c>
      <c r="X30" s="133">
        <f t="shared" si="44"/>
        <v>7.3976151358105868</v>
      </c>
      <c r="Y30" s="133">
        <f t="shared" si="44"/>
        <v>8.7444834155395945</v>
      </c>
      <c r="Z30" s="133">
        <f t="shared" si="44"/>
        <v>9.8689796503816041</v>
      </c>
      <c r="AA30" s="133">
        <f t="shared" si="44"/>
        <v>10.933414564973054</v>
      </c>
      <c r="AB30" s="133">
        <f t="shared" si="25"/>
        <v>11.951333268363173</v>
      </c>
      <c r="AC30" s="74">
        <v>0.01</v>
      </c>
      <c r="AD30" s="115" t="s">
        <v>56</v>
      </c>
      <c r="AE30" s="76">
        <v>0.20549999999999996</v>
      </c>
      <c r="AF30" s="76">
        <v>0.20509090909090907</v>
      </c>
      <c r="AG30" s="76">
        <v>0.20468181818181816</v>
      </c>
      <c r="AH30" s="76">
        <v>0.20427272727272724</v>
      </c>
      <c r="AI30" s="76">
        <v>0.20386363636363633</v>
      </c>
      <c r="AJ30" s="76">
        <v>0.20345454545454544</v>
      </c>
      <c r="AK30" s="76">
        <v>0.20304545454545453</v>
      </c>
      <c r="AL30" s="76">
        <v>0.20263636363636361</v>
      </c>
      <c r="AM30" s="76">
        <v>0.2022272727272727</v>
      </c>
      <c r="AN30" s="76">
        <v>0.20181818181818181</v>
      </c>
      <c r="AO30" s="76">
        <v>0.2014090909090909</v>
      </c>
      <c r="AP30" s="76">
        <v>0.20099999999999998</v>
      </c>
      <c r="AQ30" s="136"/>
      <c r="AR30" s="136"/>
    </row>
    <row r="31" spans="2:44" s="115" customFormat="1" ht="15" customHeight="1" x14ac:dyDescent="0.2">
      <c r="B31" s="115" t="s">
        <v>57</v>
      </c>
      <c r="C31" s="130">
        <f>C29*AE31</f>
        <v>647.07499999999993</v>
      </c>
      <c r="D31" s="130">
        <f t="shared" ref="D31:N31" si="46">D29*AF31</f>
        <v>660.7521086776859</v>
      </c>
      <c r="E31" s="130">
        <f t="shared" si="46"/>
        <v>679.10438099173552</v>
      </c>
      <c r="F31" s="130">
        <f t="shared" si="46"/>
        <v>702.12180785123974</v>
      </c>
      <c r="G31" s="130">
        <f t="shared" si="46"/>
        <v>734.4873520661157</v>
      </c>
      <c r="H31" s="130">
        <f t="shared" si="46"/>
        <v>773.83568181818191</v>
      </c>
      <c r="I31" s="130">
        <f t="shared" si="46"/>
        <v>820.15095041322309</v>
      </c>
      <c r="J31" s="130">
        <f t="shared" si="46"/>
        <v>880.44175537190085</v>
      </c>
      <c r="K31" s="130">
        <f t="shared" si="46"/>
        <v>957.01605785123968</v>
      </c>
      <c r="L31" s="130">
        <f t="shared" si="46"/>
        <v>1051.0051117768596</v>
      </c>
      <c r="M31" s="130">
        <f t="shared" si="46"/>
        <v>1165.4049768595041</v>
      </c>
      <c r="N31" s="130">
        <f t="shared" si="46"/>
        <v>1304.1121434999998</v>
      </c>
      <c r="O31" s="98">
        <f t="shared" si="27"/>
        <v>7.7409706786126131E-2</v>
      </c>
      <c r="P31" s="132"/>
      <c r="Q31" s="115" t="s">
        <v>57</v>
      </c>
      <c r="R31" s="133">
        <f t="shared" si="44"/>
        <v>2.1136821354071689</v>
      </c>
      <c r="S31" s="133">
        <f t="shared" si="44"/>
        <v>2.7774822165572255</v>
      </c>
      <c r="T31" s="133">
        <f t="shared" si="44"/>
        <v>3.3893798219782445</v>
      </c>
      <c r="U31" s="133">
        <f t="shared" si="44"/>
        <v>4.6096765337522827</v>
      </c>
      <c r="V31" s="133">
        <f t="shared" si="44"/>
        <v>5.3572508282653475</v>
      </c>
      <c r="W31" s="133">
        <f t="shared" si="44"/>
        <v>5.9851554642996296</v>
      </c>
      <c r="X31" s="133">
        <f t="shared" si="44"/>
        <v>7.3511839409929225</v>
      </c>
      <c r="Y31" s="133">
        <f t="shared" si="44"/>
        <v>8.6972593033134427</v>
      </c>
      <c r="Z31" s="133">
        <f t="shared" si="44"/>
        <v>9.8210529650516918</v>
      </c>
      <c r="AA31" s="133">
        <f t="shared" si="44"/>
        <v>10.884805773136241</v>
      </c>
      <c r="AB31" s="133">
        <f t="shared" si="25"/>
        <v>11.902057172801793</v>
      </c>
      <c r="AC31" s="74">
        <v>0.02</v>
      </c>
      <c r="AD31" s="115" t="s">
        <v>57</v>
      </c>
      <c r="AE31" s="76">
        <v>0.18099999999999999</v>
      </c>
      <c r="AF31" s="76">
        <v>0.18056363636363634</v>
      </c>
      <c r="AG31" s="76">
        <v>0.18012727272727272</v>
      </c>
      <c r="AH31" s="76">
        <v>0.17969090909090907</v>
      </c>
      <c r="AI31" s="76">
        <v>0.17925454545454544</v>
      </c>
      <c r="AJ31" s="76">
        <v>0.17881818181818179</v>
      </c>
      <c r="AK31" s="76">
        <v>0.17838181818181817</v>
      </c>
      <c r="AL31" s="76">
        <v>0.17794545454545452</v>
      </c>
      <c r="AM31" s="76">
        <v>0.17750909090909089</v>
      </c>
      <c r="AN31" s="76">
        <v>0.17707272727272724</v>
      </c>
      <c r="AO31" s="76">
        <v>0.17663636363636362</v>
      </c>
      <c r="AP31" s="76">
        <v>0.17619999999999997</v>
      </c>
      <c r="AQ31" s="136"/>
      <c r="AR31" s="136"/>
    </row>
    <row r="32" spans="2:44" ht="15" customHeight="1" x14ac:dyDescent="0.2">
      <c r="B32" s="8" t="s">
        <v>58</v>
      </c>
      <c r="C32" s="21">
        <f>C29*AE32</f>
        <v>446.875</v>
      </c>
      <c r="D32" s="21">
        <f t="shared" ref="D32:N32" si="47">D29*AF32</f>
        <v>459.02011859504142</v>
      </c>
      <c r="E32" s="21">
        <f t="shared" si="47"/>
        <v>474.55734628099179</v>
      </c>
      <c r="F32" s="21">
        <f t="shared" si="47"/>
        <v>493.53841942148779</v>
      </c>
      <c r="G32" s="21">
        <f t="shared" si="47"/>
        <v>519.33373884297532</v>
      </c>
      <c r="H32" s="21">
        <f t="shared" si="47"/>
        <v>550.37931818181835</v>
      </c>
      <c r="I32" s="21">
        <f t="shared" si="47"/>
        <v>586.75359504132234</v>
      </c>
      <c r="J32" s="21">
        <f t="shared" si="47"/>
        <v>633.59060826446307</v>
      </c>
      <c r="K32" s="21">
        <f t="shared" si="47"/>
        <v>692.74121487603315</v>
      </c>
      <c r="L32" s="21">
        <f t="shared" si="47"/>
        <v>765.24050185950443</v>
      </c>
      <c r="M32" s="21">
        <f t="shared" si="47"/>
        <v>853.51069586776885</v>
      </c>
      <c r="N32" s="21">
        <f t="shared" si="47"/>
        <v>960.69101150000017</v>
      </c>
      <c r="O32" s="19">
        <f t="shared" si="27"/>
        <v>8.2829880731809302E-2</v>
      </c>
      <c r="P32" s="24"/>
      <c r="Q32" s="8" t="s">
        <v>58</v>
      </c>
      <c r="R32" s="30">
        <f t="shared" si="44"/>
        <v>2.717788776512764</v>
      </c>
      <c r="S32" s="30">
        <f t="shared" ref="S32:S36" si="48">(E32/D32-1)*100</f>
        <v>3.3848685616452601</v>
      </c>
      <c r="T32" s="30">
        <f t="shared" ref="T32:T36" si="49">(F32/E32-1)*100</f>
        <v>3.999742768549841</v>
      </c>
      <c r="U32" s="30">
        <f t="shared" ref="U32:U36" si="50">(G32/F32-1)*100</f>
        <v>5.2266081841661149</v>
      </c>
      <c r="V32" s="30">
        <f t="shared" ref="V32:V36" si="51">(H32/G32-1)*100</f>
        <v>5.9779631125082666</v>
      </c>
      <c r="W32" s="30">
        <f t="shared" ref="W32:W36" si="52">(I32/H32-1)*100</f>
        <v>6.6089468949644958</v>
      </c>
      <c r="X32" s="30">
        <f t="shared" ref="X32:X36" si="53">(J32/I32-1)*100</f>
        <v>7.9823990204682449</v>
      </c>
      <c r="Y32" s="30">
        <f t="shared" ref="Y32:Y36" si="54">(K32/J32-1)*100</f>
        <v>9.3357770522508154</v>
      </c>
      <c r="Z32" s="30">
        <f t="shared" ref="Z32:Z36" si="55">(L32/K32-1)*100</f>
        <v>10.465565701391832</v>
      </c>
      <c r="AA32" s="30">
        <f t="shared" ref="AA32:AA36" si="56">(M32/L32-1)*100</f>
        <v>11.534961073514971</v>
      </c>
      <c r="AB32" s="30">
        <f t="shared" si="25"/>
        <v>12.557583185675325</v>
      </c>
      <c r="AC32" s="25">
        <v>0.05</v>
      </c>
      <c r="AD32" s="8" t="s">
        <v>58</v>
      </c>
      <c r="AE32" s="157">
        <v>0.125</v>
      </c>
      <c r="AF32" s="157">
        <v>0.12543636363636365</v>
      </c>
      <c r="AG32" s="157">
        <v>0.12587272727272728</v>
      </c>
      <c r="AH32" s="157">
        <v>0.12630909090909093</v>
      </c>
      <c r="AI32" s="157">
        <v>0.12674545454545455</v>
      </c>
      <c r="AJ32" s="157">
        <v>0.1271818181818182</v>
      </c>
      <c r="AK32" s="157">
        <v>0.12761818181818183</v>
      </c>
      <c r="AL32" s="157">
        <v>0.12805454545454548</v>
      </c>
      <c r="AM32" s="157">
        <v>0.1284909090909091</v>
      </c>
      <c r="AN32" s="157">
        <v>0.12892727272727275</v>
      </c>
      <c r="AO32" s="157">
        <v>0.12936363636363638</v>
      </c>
      <c r="AP32" s="157">
        <v>0.12980000000000003</v>
      </c>
      <c r="AQ32" s="26"/>
      <c r="AR32" s="26"/>
    </row>
    <row r="33" spans="2:42" x14ac:dyDescent="0.2">
      <c r="B33" s="8" t="s">
        <v>59</v>
      </c>
      <c r="C33" s="21">
        <f>C29*AE33</f>
        <v>464.75</v>
      </c>
      <c r="D33" s="21">
        <f t="shared" ref="D33:N33" si="57">D29*AF33</f>
        <v>476.11943305785121</v>
      </c>
      <c r="E33" s="21">
        <f t="shared" si="57"/>
        <v>490.94030247933887</v>
      </c>
      <c r="F33" s="21">
        <f t="shared" si="57"/>
        <v>509.23900826446294</v>
      </c>
      <c r="G33" s="21">
        <f t="shared" si="57"/>
        <v>534.45707107438022</v>
      </c>
      <c r="H33" s="21">
        <f t="shared" si="57"/>
        <v>564.93545454545472</v>
      </c>
      <c r="I33" s="21">
        <f t="shared" si="57"/>
        <v>600.71396694214877</v>
      </c>
      <c r="J33" s="21">
        <f t="shared" si="57"/>
        <v>646.99469752066125</v>
      </c>
      <c r="K33" s="21">
        <f t="shared" si="57"/>
        <v>705.5824628099175</v>
      </c>
      <c r="L33" s="21">
        <f t="shared" si="57"/>
        <v>777.43513966942157</v>
      </c>
      <c r="M33" s="21">
        <f t="shared" si="57"/>
        <v>864.90683305785137</v>
      </c>
      <c r="N33" s="21">
        <f t="shared" si="57"/>
        <v>971.05285600000013</v>
      </c>
      <c r="O33" s="19">
        <f t="shared" si="27"/>
        <v>8.0454023817203124E-2</v>
      </c>
      <c r="Q33" s="8" t="s">
        <v>59</v>
      </c>
      <c r="R33" s="30">
        <f t="shared" si="44"/>
        <v>2.4463546116947121</v>
      </c>
      <c r="S33" s="30">
        <f t="shared" si="48"/>
        <v>3.1128469859550645</v>
      </c>
      <c r="T33" s="30">
        <f t="shared" si="49"/>
        <v>3.727277164394982</v>
      </c>
      <c r="U33" s="30">
        <f t="shared" si="50"/>
        <v>4.9521074388749087</v>
      </c>
      <c r="V33" s="30">
        <f t="shared" si="51"/>
        <v>5.702681304188939</v>
      </c>
      <c r="W33" s="30">
        <f t="shared" si="52"/>
        <v>6.3332035737571735</v>
      </c>
      <c r="X33" s="30">
        <f t="shared" si="53"/>
        <v>7.704287418868927</v>
      </c>
      <c r="Y33" s="30">
        <f t="shared" si="54"/>
        <v>9.0553702393187496</v>
      </c>
      <c r="Z33" s="30">
        <f t="shared" si="55"/>
        <v>10.183455605367131</v>
      </c>
      <c r="AA33" s="30">
        <f t="shared" si="56"/>
        <v>11.251317174269261</v>
      </c>
      <c r="AB33" s="30">
        <f t="shared" si="25"/>
        <v>12.272538368886821</v>
      </c>
      <c r="AC33" s="25">
        <v>0.04</v>
      </c>
      <c r="AD33" s="8" t="s">
        <v>59</v>
      </c>
      <c r="AE33" s="157">
        <v>0.13</v>
      </c>
      <c r="AF33" s="157">
        <v>0.1301090909090909</v>
      </c>
      <c r="AG33" s="157">
        <v>0.13021818181818182</v>
      </c>
      <c r="AH33" s="157">
        <v>0.13032727272727274</v>
      </c>
      <c r="AI33" s="157">
        <v>0.13043636363636363</v>
      </c>
      <c r="AJ33" s="157">
        <v>0.13054545454545455</v>
      </c>
      <c r="AK33" s="157">
        <v>0.13065454545454544</v>
      </c>
      <c r="AL33" s="157">
        <v>0.13076363636363636</v>
      </c>
      <c r="AM33" s="157">
        <v>0.13087272727272728</v>
      </c>
      <c r="AN33" s="157">
        <v>0.13098181818181817</v>
      </c>
      <c r="AO33" s="157">
        <v>0.13109090909090909</v>
      </c>
      <c r="AP33" s="157">
        <v>0.13120000000000001</v>
      </c>
    </row>
    <row r="34" spans="2:42" x14ac:dyDescent="0.2">
      <c r="B34" s="8" t="s">
        <v>60</v>
      </c>
      <c r="C34" s="21">
        <f>C29*AE34</f>
        <v>530.88749999999993</v>
      </c>
      <c r="D34" s="21">
        <f t="shared" ref="D34:N34" si="58">D29*AF34</f>
        <v>543.25253925619836</v>
      </c>
      <c r="E34" s="21">
        <f t="shared" si="58"/>
        <v>559.5225103305786</v>
      </c>
      <c r="F34" s="21">
        <f t="shared" si="58"/>
        <v>579.71404958677692</v>
      </c>
      <c r="G34" s="21">
        <f t="shared" si="58"/>
        <v>607.72700826446294</v>
      </c>
      <c r="H34" s="21">
        <f t="shared" si="58"/>
        <v>641.65022727272731</v>
      </c>
      <c r="I34" s="21">
        <f t="shared" si="58"/>
        <v>681.50857438016521</v>
      </c>
      <c r="J34" s="21">
        <f t="shared" si="58"/>
        <v>733.17669421487608</v>
      </c>
      <c r="K34" s="21">
        <f t="shared" si="58"/>
        <v>798.65700413223146</v>
      </c>
      <c r="L34" s="21">
        <f t="shared" si="58"/>
        <v>878.98517665289262</v>
      </c>
      <c r="M34" s="21">
        <f t="shared" si="58"/>
        <v>976.76891652892573</v>
      </c>
      <c r="N34" s="21">
        <f t="shared" si="58"/>
        <v>1095.39499</v>
      </c>
      <c r="O34" s="19">
        <f t="shared" si="27"/>
        <v>7.9398402853052774E-2</v>
      </c>
      <c r="Q34" s="8" t="s">
        <v>60</v>
      </c>
      <c r="R34" s="30">
        <f t="shared" si="44"/>
        <v>2.3291260872027264</v>
      </c>
      <c r="S34" s="30">
        <f t="shared" si="48"/>
        <v>2.9949185505246723</v>
      </c>
      <c r="T34" s="30">
        <f t="shared" si="49"/>
        <v>3.608709012309208</v>
      </c>
      <c r="U34" s="30">
        <f t="shared" si="50"/>
        <v>4.8322028244190074</v>
      </c>
      <c r="V34" s="30">
        <f t="shared" si="51"/>
        <v>5.5819831185620172</v>
      </c>
      <c r="W34" s="30">
        <f t="shared" si="52"/>
        <v>6.2118496048621408</v>
      </c>
      <c r="X34" s="30">
        <f t="shared" si="53"/>
        <v>7.5814335691525514</v>
      </c>
      <c r="Y34" s="30">
        <f t="shared" si="54"/>
        <v>8.9310408301337407</v>
      </c>
      <c r="Z34" s="30">
        <f t="shared" si="55"/>
        <v>10.057906223202862</v>
      </c>
      <c r="AA34" s="30">
        <f t="shared" si="56"/>
        <v>11.124617624199985</v>
      </c>
      <c r="AB34" s="30">
        <f t="shared" si="25"/>
        <v>12.144742882751359</v>
      </c>
      <c r="AC34" s="25">
        <v>0.03</v>
      </c>
      <c r="AD34" s="8" t="s">
        <v>60</v>
      </c>
      <c r="AE34" s="157">
        <v>0.14849999999999999</v>
      </c>
      <c r="AF34" s="157">
        <v>0.14845454545454545</v>
      </c>
      <c r="AG34" s="157">
        <v>0.14840909090909091</v>
      </c>
      <c r="AH34" s="157">
        <v>0.14836363636363636</v>
      </c>
      <c r="AI34" s="157">
        <v>0.14831818181818182</v>
      </c>
      <c r="AJ34" s="157">
        <v>0.14827272727272725</v>
      </c>
      <c r="AK34" s="157">
        <v>0.14822727272727271</v>
      </c>
      <c r="AL34" s="157">
        <v>0.14818181818181816</v>
      </c>
      <c r="AM34" s="157">
        <v>0.14813636363636362</v>
      </c>
      <c r="AN34" s="157">
        <v>0.14809090909090908</v>
      </c>
      <c r="AO34" s="157">
        <v>0.14804545454545454</v>
      </c>
      <c r="AP34" s="157">
        <v>0.14799999999999999</v>
      </c>
    </row>
    <row r="35" spans="2:42" x14ac:dyDescent="0.2">
      <c r="B35" s="9" t="s">
        <v>61</v>
      </c>
      <c r="C35" s="21">
        <f>C29*AE35</f>
        <v>393.25</v>
      </c>
      <c r="D35" s="21">
        <f t="shared" ref="D35:N35" si="59">D29*AF35</f>
        <v>402.96497293388433</v>
      </c>
      <c r="E35" s="21">
        <f t="shared" si="59"/>
        <v>415.60612314049587</v>
      </c>
      <c r="F35" s="21">
        <f t="shared" si="59"/>
        <v>431.19784607438027</v>
      </c>
      <c r="G35" s="21">
        <f t="shared" si="59"/>
        <v>452.65697851239673</v>
      </c>
      <c r="H35" s="21">
        <f t="shared" si="59"/>
        <v>478.58215909090916</v>
      </c>
      <c r="I35" s="21">
        <f t="shared" si="59"/>
        <v>509.0102066115702</v>
      </c>
      <c r="J35" s="21">
        <f t="shared" si="59"/>
        <v>548.35319504132235</v>
      </c>
      <c r="K35" s="21">
        <f t="shared" si="59"/>
        <v>598.14728925619841</v>
      </c>
      <c r="L35" s="21">
        <f t="shared" si="59"/>
        <v>659.21190320247933</v>
      </c>
      <c r="M35" s="21">
        <f t="shared" si="59"/>
        <v>733.55135702479345</v>
      </c>
      <c r="N35" s="21">
        <f t="shared" si="59"/>
        <v>823.76663774999997</v>
      </c>
      <c r="O35" s="19">
        <f t="shared" si="27"/>
        <v>8.0668587657391377E-2</v>
      </c>
      <c r="Q35" s="9" t="s">
        <v>61</v>
      </c>
      <c r="R35" s="30">
        <f t="shared" si="44"/>
        <v>2.4704317695827926</v>
      </c>
      <c r="S35" s="30">
        <f t="shared" si="48"/>
        <v>3.1370344957216911</v>
      </c>
      <c r="T35" s="30">
        <f t="shared" si="49"/>
        <v>3.751562372581696</v>
      </c>
      <c r="U35" s="30">
        <f t="shared" si="50"/>
        <v>4.9766325674815315</v>
      </c>
      <c r="V35" s="30">
        <f t="shared" si="51"/>
        <v>5.7273347831093835</v>
      </c>
      <c r="W35" s="30">
        <f t="shared" si="52"/>
        <v>6.3579569239397893</v>
      </c>
      <c r="X35" s="30">
        <f t="shared" si="53"/>
        <v>7.729312284650347</v>
      </c>
      <c r="Y35" s="30">
        <f t="shared" si="54"/>
        <v>9.0806609070863011</v>
      </c>
      <c r="Z35" s="30">
        <f t="shared" si="55"/>
        <v>10.208959405670015</v>
      </c>
      <c r="AA35" s="30">
        <f t="shared" si="56"/>
        <v>11.27701934099945</v>
      </c>
      <c r="AB35" s="30">
        <f t="shared" si="25"/>
        <v>12.29842735089608</v>
      </c>
      <c r="AC35" s="25">
        <v>0.06</v>
      </c>
      <c r="AD35" s="9" t="s">
        <v>61</v>
      </c>
      <c r="AE35" s="157">
        <v>0.11</v>
      </c>
      <c r="AF35" s="157">
        <v>0.11011818181818181</v>
      </c>
      <c r="AG35" s="157">
        <v>0.11023636363636363</v>
      </c>
      <c r="AH35" s="157">
        <v>0.11035454545454546</v>
      </c>
      <c r="AI35" s="157">
        <v>0.11047272727272726</v>
      </c>
      <c r="AJ35" s="157">
        <v>0.11059090909090909</v>
      </c>
      <c r="AK35" s="157">
        <v>0.1107090909090909</v>
      </c>
      <c r="AL35" s="157">
        <v>0.11082727272727272</v>
      </c>
      <c r="AM35" s="157">
        <v>0.11094545454545454</v>
      </c>
      <c r="AN35" s="157">
        <v>0.11106363636363635</v>
      </c>
      <c r="AO35" s="157">
        <v>0.11118181818181817</v>
      </c>
      <c r="AP35" s="157">
        <v>0.1113</v>
      </c>
    </row>
    <row r="36" spans="2:42" x14ac:dyDescent="0.2">
      <c r="B36" s="9" t="s">
        <v>62</v>
      </c>
      <c r="C36" s="21">
        <f>C29*AE36</f>
        <v>357.50000000000006</v>
      </c>
      <c r="D36" s="21">
        <f t="shared" ref="D36:N36" si="60">D29*AF36</f>
        <v>366.77031508264474</v>
      </c>
      <c r="E36" s="21">
        <f t="shared" si="60"/>
        <v>378.72733471074389</v>
      </c>
      <c r="F36" s="21">
        <f t="shared" si="60"/>
        <v>393.40276342975216</v>
      </c>
      <c r="G36" s="21">
        <f t="shared" si="60"/>
        <v>413.47041322314061</v>
      </c>
      <c r="H36" s="21">
        <f t="shared" si="60"/>
        <v>437.6676136363638</v>
      </c>
      <c r="I36" s="21">
        <f t="shared" si="60"/>
        <v>466.0423553719009</v>
      </c>
      <c r="J36" s="21">
        <f t="shared" si="60"/>
        <v>502.65334710743821</v>
      </c>
      <c r="K36" s="21">
        <f t="shared" si="60"/>
        <v>548.93884297520674</v>
      </c>
      <c r="L36" s="21">
        <f t="shared" si="60"/>
        <v>605.68499741735548</v>
      </c>
      <c r="M36" s="21">
        <f t="shared" si="60"/>
        <v>674.77128099173569</v>
      </c>
      <c r="N36" s="21">
        <f t="shared" si="60"/>
        <v>758.63504375000002</v>
      </c>
      <c r="O36" s="19">
        <f t="shared" si="27"/>
        <v>8.1750057689966793E-2</v>
      </c>
      <c r="Q36" s="9" t="s">
        <v>62</v>
      </c>
      <c r="R36" s="30">
        <f t="shared" si="44"/>
        <v>2.5930951280124903</v>
      </c>
      <c r="S36" s="30">
        <f t="shared" si="48"/>
        <v>3.2600838007854849</v>
      </c>
      <c r="T36" s="30">
        <f t="shared" si="49"/>
        <v>3.87493253694422</v>
      </c>
      <c r="U36" s="30">
        <f t="shared" si="50"/>
        <v>5.1010444406732969</v>
      </c>
      <c r="V36" s="30">
        <f t="shared" si="51"/>
        <v>5.8522205312341091</v>
      </c>
      <c r="W36" s="30">
        <f t="shared" si="52"/>
        <v>6.4831714414017139</v>
      </c>
      <c r="X36" s="30">
        <f t="shared" si="53"/>
        <v>7.8557219775275078</v>
      </c>
      <c r="Y36" s="30">
        <f t="shared" si="54"/>
        <v>9.20823389202965</v>
      </c>
      <c r="Z36" s="30">
        <f t="shared" si="55"/>
        <v>10.337427414425427</v>
      </c>
      <c r="AA36" s="30">
        <f t="shared" si="56"/>
        <v>11.40630589645848</v>
      </c>
      <c r="AB36" s="30">
        <f t="shared" si="25"/>
        <v>12.428472449954707</v>
      </c>
      <c r="AC36" s="25">
        <v>7.0000000000000007E-2</v>
      </c>
      <c r="AD36" s="9" t="s">
        <v>62</v>
      </c>
      <c r="AE36" s="157">
        <v>0.10000000000000002</v>
      </c>
      <c r="AF36" s="157">
        <v>0.10022727272727275</v>
      </c>
      <c r="AG36" s="157">
        <v>0.10045454545454546</v>
      </c>
      <c r="AH36" s="157">
        <v>0.10068181818181819</v>
      </c>
      <c r="AI36" s="157">
        <v>0.10090909090909092</v>
      </c>
      <c r="AJ36" s="157">
        <v>0.10113636363636365</v>
      </c>
      <c r="AK36" s="157">
        <v>0.10136363636363638</v>
      </c>
      <c r="AL36" s="157">
        <v>0.10159090909090911</v>
      </c>
      <c r="AM36" s="157">
        <v>0.10181818181818182</v>
      </c>
      <c r="AN36" s="157">
        <v>0.10204545454545455</v>
      </c>
      <c r="AO36" s="157">
        <v>0.10227272727272728</v>
      </c>
      <c r="AP36" s="157">
        <v>0.10250000000000001</v>
      </c>
    </row>
    <row r="37" spans="2:42" x14ac:dyDescent="0.2">
      <c r="B37" s="66"/>
      <c r="C37" s="66"/>
      <c r="O37" s="6"/>
      <c r="R37" s="4"/>
      <c r="S37" s="4"/>
      <c r="AC37" s="2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spans="2:42" x14ac:dyDescent="0.2">
      <c r="B38" s="66"/>
      <c r="C38" s="66"/>
    </row>
    <row r="39" spans="2:42" x14ac:dyDescent="0.2">
      <c r="B39" s="66"/>
      <c r="C39" s="66"/>
    </row>
    <row r="40" spans="2:42" x14ac:dyDescent="0.2">
      <c r="B40" s="66"/>
      <c r="C40" s="66"/>
    </row>
    <row r="45" spans="2:42" x14ac:dyDescent="0.2">
      <c r="AL45" s="29">
        <v>2023</v>
      </c>
      <c r="AM45" s="29">
        <v>2030</v>
      </c>
    </row>
    <row r="46" spans="2:42" x14ac:dyDescent="0.2">
      <c r="AK46" s="2" t="str">
        <f>AD8</f>
        <v>Flexible Electronics</v>
      </c>
      <c r="AL46" s="33">
        <f>AI8</f>
        <v>0.51781818181818184</v>
      </c>
      <c r="AM46" s="33">
        <f>AP8</f>
        <v>0.51400000000000001</v>
      </c>
    </row>
    <row r="47" spans="2:42" x14ac:dyDescent="0.2">
      <c r="B47" s="8"/>
      <c r="C47" s="8"/>
      <c r="D47" s="66"/>
      <c r="AK47" s="5" t="str">
        <f>AD13</f>
        <v>Flexible Circuit</v>
      </c>
      <c r="AL47" s="33">
        <f>AI13</f>
        <v>0.48218181818181816</v>
      </c>
      <c r="AM47" s="33">
        <f>AP13</f>
        <v>0.48599999999999999</v>
      </c>
    </row>
    <row r="48" spans="2:42" x14ac:dyDescent="0.2">
      <c r="B48" s="8"/>
      <c r="C48" s="8"/>
      <c r="D48" s="66"/>
      <c r="AK48" s="5"/>
      <c r="AL48" s="33"/>
      <c r="AM48" s="33"/>
    </row>
    <row r="49" spans="2:39" x14ac:dyDescent="0.2">
      <c r="B49" s="8"/>
      <c r="C49" s="8"/>
      <c r="AK49" s="5"/>
      <c r="AL49" s="33"/>
      <c r="AM49" s="33"/>
    </row>
    <row r="50" spans="2:39" x14ac:dyDescent="0.2">
      <c r="B50" s="8"/>
      <c r="C50" s="8"/>
      <c r="AK50" s="5"/>
      <c r="AL50" s="33"/>
      <c r="AM50" s="33"/>
    </row>
    <row r="51" spans="2:39" x14ac:dyDescent="0.2">
      <c r="B51" s="8"/>
      <c r="C51" s="8"/>
      <c r="AK51" s="5"/>
      <c r="AL51" s="33"/>
      <c r="AM51" s="33"/>
    </row>
    <row r="53" spans="2:39" x14ac:dyDescent="0.2">
      <c r="B53" s="8"/>
      <c r="C53" s="8"/>
      <c r="D53" s="66"/>
    </row>
    <row r="54" spans="2:39" x14ac:dyDescent="0.2">
      <c r="B54" s="8"/>
      <c r="C54" s="8"/>
      <c r="D54" s="66"/>
    </row>
    <row r="55" spans="2:39" x14ac:dyDescent="0.2">
      <c r="B55" s="8"/>
      <c r="C55" s="8"/>
      <c r="D55" s="66"/>
    </row>
    <row r="56" spans="2:39" x14ac:dyDescent="0.2">
      <c r="B56" s="8"/>
      <c r="C56" s="8"/>
      <c r="D56" s="66"/>
    </row>
    <row r="58" spans="2:39" x14ac:dyDescent="0.2">
      <c r="AK58" s="4"/>
      <c r="AL58" s="29">
        <v>2023</v>
      </c>
      <c r="AM58" s="29">
        <v>2030</v>
      </c>
    </row>
    <row r="59" spans="2:39" x14ac:dyDescent="0.2">
      <c r="B59" s="8"/>
      <c r="C59" s="8"/>
      <c r="D59" s="66"/>
      <c r="AK59" s="2" t="str">
        <f t="shared" ref="AK59:AK65" si="61">AD21</f>
        <v>Automotive</v>
      </c>
      <c r="AL59" s="33">
        <f t="shared" ref="AL59:AL65" si="62">AI21</f>
        <v>0.18155454545454544</v>
      </c>
      <c r="AM59" s="33">
        <f t="shared" ref="AM59:AM65" si="63">AP21</f>
        <v>0.182</v>
      </c>
    </row>
    <row r="60" spans="2:39" x14ac:dyDescent="0.2">
      <c r="B60" s="8"/>
      <c r="C60" s="8"/>
      <c r="D60" s="66"/>
      <c r="AK60" s="2" t="str">
        <f t="shared" si="61"/>
        <v>Military, Defense and Aerospace</v>
      </c>
      <c r="AL60" s="33">
        <f t="shared" si="62"/>
        <v>0.13836363636363638</v>
      </c>
      <c r="AM60" s="33">
        <f t="shared" si="63"/>
        <v>0.13900000000000001</v>
      </c>
    </row>
    <row r="61" spans="2:39" x14ac:dyDescent="0.2">
      <c r="B61" s="8"/>
      <c r="C61" s="8"/>
      <c r="AK61" s="2" t="str">
        <f t="shared" si="61"/>
        <v>Consumer Electronics</v>
      </c>
      <c r="AL61" s="33">
        <f t="shared" si="62"/>
        <v>0.21146363636363638</v>
      </c>
      <c r="AM61" s="33">
        <f t="shared" si="63"/>
        <v>0.21000000000000002</v>
      </c>
    </row>
    <row r="62" spans="2:39" x14ac:dyDescent="0.2">
      <c r="B62" s="8"/>
      <c r="C62" s="8"/>
      <c r="AK62" s="2" t="str">
        <f t="shared" si="61"/>
        <v>Industrial</v>
      </c>
      <c r="AL62" s="33">
        <f t="shared" si="62"/>
        <v>0.12268181818181818</v>
      </c>
      <c r="AM62" s="33">
        <f t="shared" si="63"/>
        <v>0.123</v>
      </c>
    </row>
    <row r="63" spans="2:39" x14ac:dyDescent="0.2">
      <c r="B63" s="8"/>
      <c r="C63" s="8"/>
      <c r="AK63" s="2" t="str">
        <f t="shared" si="61"/>
        <v>Healthcare and Medical</v>
      </c>
      <c r="AL63" s="33">
        <f t="shared" si="62"/>
        <v>0.2015909090909091</v>
      </c>
      <c r="AM63" s="33">
        <f t="shared" si="63"/>
        <v>0.2</v>
      </c>
    </row>
    <row r="64" spans="2:39" x14ac:dyDescent="0.2">
      <c r="B64" s="8"/>
      <c r="C64" s="8"/>
      <c r="AK64" s="2" t="str">
        <f t="shared" si="61"/>
        <v>Energy and Power</v>
      </c>
      <c r="AL64" s="33">
        <f t="shared" si="62"/>
        <v>8.5618181818181816E-2</v>
      </c>
      <c r="AM64" s="33">
        <f t="shared" si="63"/>
        <v>8.5999999999999993E-2</v>
      </c>
    </row>
    <row r="65" spans="5:39" x14ac:dyDescent="0.2">
      <c r="AK65" s="2" t="str">
        <f t="shared" si="61"/>
        <v>Others</v>
      </c>
      <c r="AL65" s="33">
        <f t="shared" si="62"/>
        <v>5.8727272727272725E-2</v>
      </c>
      <c r="AM65" s="33">
        <f t="shared" si="63"/>
        <v>5.9999999999999991E-2</v>
      </c>
    </row>
    <row r="68" spans="5:39" x14ac:dyDescent="0.2">
      <c r="AK68" s="4"/>
      <c r="AL68" s="4"/>
    </row>
    <row r="69" spans="5:39" x14ac:dyDescent="0.2">
      <c r="AK69" s="4"/>
      <c r="AL69" s="4"/>
    </row>
    <row r="70" spans="5:39" x14ac:dyDescent="0.2">
      <c r="AK70" s="4"/>
      <c r="AL70" s="4"/>
    </row>
    <row r="75" spans="5:39" x14ac:dyDescent="0.2">
      <c r="AK75" s="8"/>
      <c r="AL75" s="4"/>
      <c r="AM75" s="4"/>
    </row>
    <row r="76" spans="5:39" x14ac:dyDescent="0.2">
      <c r="AK76" s="8"/>
      <c r="AL76" s="4"/>
      <c r="AM76" s="4"/>
    </row>
    <row r="77" spans="5:39" x14ac:dyDescent="0.2">
      <c r="AL77" s="29">
        <v>2023</v>
      </c>
      <c r="AM77" s="29">
        <v>2030</v>
      </c>
    </row>
    <row r="78" spans="5:39" x14ac:dyDescent="0.2">
      <c r="E78" s="21"/>
      <c r="F78" s="21"/>
      <c r="G78" s="21"/>
      <c r="H78" s="21"/>
      <c r="I78" s="21"/>
      <c r="J78" s="21"/>
      <c r="K78" s="21"/>
      <c r="L78" s="21"/>
      <c r="M78" s="21"/>
      <c r="N78" s="21"/>
      <c r="AK78" s="8" t="str">
        <f>AD30</f>
        <v>Brazil</v>
      </c>
      <c r="AL78" s="4">
        <f>AI30</f>
        <v>0.20386363636363633</v>
      </c>
      <c r="AM78" s="4">
        <f>AP30</f>
        <v>0.20099999999999998</v>
      </c>
    </row>
    <row r="79" spans="5:39" x14ac:dyDescent="0.2">
      <c r="F79" s="67"/>
      <c r="G79" s="67"/>
      <c r="H79" s="67"/>
      <c r="I79" s="67"/>
      <c r="J79" s="67"/>
      <c r="K79" s="67"/>
      <c r="L79" s="67"/>
      <c r="M79" s="67"/>
      <c r="N79" s="67"/>
      <c r="AK79" s="8" t="str">
        <f>AD31</f>
        <v>Argentina</v>
      </c>
      <c r="AL79" s="4">
        <f>AI31</f>
        <v>0.17925454545454544</v>
      </c>
      <c r="AM79" s="4">
        <f>AP31</f>
        <v>0.17619999999999997</v>
      </c>
    </row>
    <row r="80" spans="5:39" x14ac:dyDescent="0.2">
      <c r="AK80" s="8" t="str">
        <f>AD32</f>
        <v>Colombia</v>
      </c>
      <c r="AL80" s="4">
        <f>AI32</f>
        <v>0.12674545454545455</v>
      </c>
      <c r="AM80" s="4">
        <f>AP32</f>
        <v>0.12980000000000003</v>
      </c>
    </row>
    <row r="81" spans="5:39" x14ac:dyDescent="0.2">
      <c r="E81" s="48"/>
      <c r="AK81" s="8" t="str">
        <f t="shared" ref="AK81:AK84" si="64">AD33</f>
        <v>Peru</v>
      </c>
      <c r="AL81" s="4">
        <f t="shared" ref="AL81:AL83" si="65">AI33</f>
        <v>0.13043636363636363</v>
      </c>
      <c r="AM81" s="4">
        <f t="shared" ref="AM81:AM84" si="66">AP33</f>
        <v>0.13120000000000001</v>
      </c>
    </row>
    <row r="82" spans="5:39" x14ac:dyDescent="0.2">
      <c r="E82" s="48"/>
      <c r="F82" s="67"/>
      <c r="AK82" s="8" t="str">
        <f t="shared" si="64"/>
        <v>Chile</v>
      </c>
      <c r="AL82" s="4">
        <f t="shared" si="65"/>
        <v>0.14831818181818182</v>
      </c>
      <c r="AM82" s="4">
        <f t="shared" si="66"/>
        <v>0.14799999999999999</v>
      </c>
    </row>
    <row r="83" spans="5:39" x14ac:dyDescent="0.2">
      <c r="E83" s="48"/>
      <c r="F83" s="67"/>
      <c r="AK83" s="8" t="str">
        <f t="shared" si="64"/>
        <v>Venezuela</v>
      </c>
      <c r="AL83" s="4">
        <f t="shared" si="65"/>
        <v>0.11047272727272726</v>
      </c>
      <c r="AM83" s="4">
        <f t="shared" si="66"/>
        <v>0.1113</v>
      </c>
    </row>
    <row r="84" spans="5:39" x14ac:dyDescent="0.2">
      <c r="E84" s="48"/>
      <c r="F84" s="67"/>
      <c r="AK84" s="8" t="str">
        <f t="shared" si="64"/>
        <v>Rest of Latin America</v>
      </c>
      <c r="AL84" s="4">
        <f>AI36</f>
        <v>0.10090909090909092</v>
      </c>
      <c r="AM84" s="4">
        <f t="shared" si="66"/>
        <v>0.10250000000000001</v>
      </c>
    </row>
    <row r="85" spans="5:39" x14ac:dyDescent="0.2">
      <c r="E85" s="48"/>
      <c r="F85" s="67"/>
      <c r="AK85" s="8"/>
    </row>
    <row r="86" spans="5:39" x14ac:dyDescent="0.2">
      <c r="E86" s="48"/>
      <c r="F86" s="67"/>
    </row>
    <row r="87" spans="5:39" x14ac:dyDescent="0.2">
      <c r="E87" s="48"/>
      <c r="F87" s="67"/>
      <c r="AL87" s="29"/>
      <c r="AM87" s="29"/>
    </row>
    <row r="88" spans="5:39" x14ac:dyDescent="0.2">
      <c r="E88" s="48"/>
      <c r="F88" s="67"/>
      <c r="AK88" s="8"/>
      <c r="AL88" s="33"/>
      <c r="AM88" s="33"/>
    </row>
    <row r="89" spans="5:39" x14ac:dyDescent="0.2">
      <c r="E89" s="48"/>
      <c r="F89" s="67"/>
      <c r="AK89" s="8"/>
      <c r="AL89" s="33"/>
      <c r="AM89" s="33"/>
    </row>
    <row r="90" spans="5:39" x14ac:dyDescent="0.2">
      <c r="E90" s="48"/>
      <c r="F90" s="67"/>
      <c r="AK90" s="8"/>
      <c r="AL90" s="33"/>
      <c r="AM90" s="33"/>
    </row>
    <row r="91" spans="5:39" x14ac:dyDescent="0.2">
      <c r="AK91" s="8"/>
      <c r="AL91" s="33"/>
      <c r="AM91" s="33"/>
    </row>
    <row r="92" spans="5:39" x14ac:dyDescent="0.2">
      <c r="AK92" s="8"/>
      <c r="AL92" s="33"/>
      <c r="AM92" s="33"/>
    </row>
    <row r="93" spans="5:39" x14ac:dyDescent="0.2">
      <c r="AK93" s="8"/>
      <c r="AL93" s="33"/>
      <c r="AM93" s="33"/>
    </row>
    <row r="94" spans="5:39" x14ac:dyDescent="0.2">
      <c r="AK94" s="8"/>
      <c r="AL94" s="33"/>
      <c r="AM94" s="33"/>
    </row>
    <row r="95" spans="5:39" x14ac:dyDescent="0.2">
      <c r="AK95" s="8"/>
      <c r="AL95" s="33"/>
      <c r="AM95" s="33"/>
    </row>
    <row r="96" spans="5:39" x14ac:dyDescent="0.2">
      <c r="AK96" s="8"/>
      <c r="AL96" s="33"/>
      <c r="AM96" s="33"/>
    </row>
    <row r="97" spans="37:39" x14ac:dyDescent="0.2">
      <c r="AK97" s="8"/>
      <c r="AL97" s="33"/>
      <c r="AM97" s="33"/>
    </row>
    <row r="104" spans="37:39" x14ac:dyDescent="0.2">
      <c r="AL104" s="29"/>
      <c r="AM104" s="29"/>
    </row>
    <row r="105" spans="37:39" x14ac:dyDescent="0.2">
      <c r="AK105" s="9"/>
      <c r="AL105" s="33"/>
      <c r="AM105" s="33"/>
    </row>
    <row r="106" spans="37:39" x14ac:dyDescent="0.2">
      <c r="AK106" s="9"/>
      <c r="AL106" s="33"/>
      <c r="AM106" s="33"/>
    </row>
    <row r="107" spans="37:39" x14ac:dyDescent="0.2">
      <c r="AK107" s="8"/>
      <c r="AL107" s="33"/>
      <c r="AM107" s="33"/>
    </row>
    <row r="108" spans="37:39" x14ac:dyDescent="0.2">
      <c r="AK108" s="8"/>
      <c r="AL108" s="33"/>
      <c r="AM108" s="33"/>
    </row>
    <row r="109" spans="37:39" x14ac:dyDescent="0.2">
      <c r="AK109" s="8"/>
      <c r="AL109" s="33"/>
      <c r="AM109" s="33"/>
    </row>
    <row r="110" spans="37:39" x14ac:dyDescent="0.2">
      <c r="AK110" s="9"/>
      <c r="AL110" s="33"/>
      <c r="AM110" s="33"/>
    </row>
    <row r="111" spans="37:39" x14ac:dyDescent="0.2">
      <c r="AK111" s="9"/>
      <c r="AL111" s="33"/>
      <c r="AM111" s="33"/>
    </row>
    <row r="121" spans="37:39" x14ac:dyDescent="0.2">
      <c r="AL121" s="29"/>
      <c r="AM121" s="29"/>
    </row>
    <row r="122" spans="37:39" x14ac:dyDescent="0.2">
      <c r="AK122" s="9"/>
      <c r="AL122" s="33"/>
      <c r="AM122" s="33"/>
    </row>
    <row r="123" spans="37:39" x14ac:dyDescent="0.2">
      <c r="AK123" s="9"/>
      <c r="AL123" s="33"/>
      <c r="AM123" s="33"/>
    </row>
    <row r="124" spans="37:39" x14ac:dyDescent="0.2">
      <c r="AK124" s="8"/>
      <c r="AL124" s="33"/>
      <c r="AM124" s="33"/>
    </row>
    <row r="125" spans="37:39" x14ac:dyDescent="0.2">
      <c r="AK125" s="8"/>
      <c r="AL125" s="33"/>
      <c r="AM125" s="33"/>
    </row>
    <row r="126" spans="37:39" x14ac:dyDescent="0.2">
      <c r="AK126" s="8"/>
      <c r="AL126" s="33"/>
      <c r="AM126" s="33"/>
    </row>
    <row r="127" spans="37:39" x14ac:dyDescent="0.2">
      <c r="AK127" s="9"/>
      <c r="AL127" s="33"/>
      <c r="AM127" s="33"/>
    </row>
    <row r="128" spans="37:39" x14ac:dyDescent="0.2">
      <c r="AK128" s="9"/>
      <c r="AL128" s="33"/>
      <c r="AM128" s="33"/>
    </row>
  </sheetData>
  <mergeCells count="6">
    <mergeCell ref="AF4:AP4"/>
    <mergeCell ref="B4:B6"/>
    <mergeCell ref="D4:M4"/>
    <mergeCell ref="Q4:Q6"/>
    <mergeCell ref="S4:AB4"/>
    <mergeCell ref="AD4:AD6"/>
  </mergeCells>
  <conditionalFormatting sqref="R8:AB18 R19:AA19 AB19:AB22 R21:AA22 R23:AB27 R28:AA28 AB28:AB31 R30:AA31 R32:AB36">
    <cfRule type="containsText" dxfId="3" priority="3" operator="containsText" text="volume or kilo">
      <formula>NOT(ISERROR(SEARCH("volume or kilo",R8)))</formula>
    </cfRule>
    <cfRule type="containsText" dxfId="2" priority="4" operator="containsText" text="volume">
      <formula>NOT(ISERROR(SEARCH("volume",R8)))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AR121"/>
  <sheetViews>
    <sheetView topLeftCell="Q8" zoomScale="90" zoomScaleNormal="90" workbookViewId="0">
      <selection activeCell="B4" sqref="B4:B6"/>
    </sheetView>
  </sheetViews>
  <sheetFormatPr baseColWidth="10" defaultColWidth="15.83203125" defaultRowHeight="15" x14ac:dyDescent="0.2"/>
  <cols>
    <col min="1" max="1" width="10.6640625" style="9" customWidth="1"/>
    <col min="2" max="2" width="27.5" style="9" customWidth="1"/>
    <col min="3" max="3" width="13.6640625" style="9" customWidth="1"/>
    <col min="4" max="5" width="12.6640625" style="9" customWidth="1"/>
    <col min="6" max="6" width="12.5" style="9" customWidth="1"/>
    <col min="7" max="7" width="12.1640625" style="9" customWidth="1"/>
    <col min="8" max="8" width="12.33203125" style="9" customWidth="1"/>
    <col min="9" max="9" width="11.33203125" style="9" bestFit="1" customWidth="1"/>
    <col min="10" max="10" width="11.5" style="9" customWidth="1"/>
    <col min="11" max="11" width="11.33203125" style="9" bestFit="1" customWidth="1"/>
    <col min="12" max="13" width="11.83203125" style="9" customWidth="1"/>
    <col min="14" max="14" width="11.6640625" style="9" customWidth="1"/>
    <col min="15" max="16" width="15.83203125" style="9"/>
    <col min="17" max="17" width="24.5" style="9" customWidth="1"/>
    <col min="18" max="29" width="15.83203125" style="12"/>
    <col min="30" max="30" width="31.6640625" style="9" customWidth="1"/>
    <col min="31" max="32" width="14.1640625" style="12" customWidth="1"/>
    <col min="33" max="33" width="14" style="12" customWidth="1"/>
    <col min="34" max="34" width="14.1640625" style="12" customWidth="1"/>
    <col min="35" max="35" width="13.83203125" style="12" customWidth="1"/>
    <col min="36" max="36" width="13.6640625" style="12" customWidth="1"/>
    <col min="37" max="37" width="13" style="12" customWidth="1"/>
    <col min="38" max="38" width="13.5" style="12" customWidth="1"/>
    <col min="39" max="39" width="14.1640625" style="12" customWidth="1"/>
    <col min="40" max="40" width="14" style="12" customWidth="1"/>
    <col min="41" max="42" width="13.5" style="12" customWidth="1"/>
    <col min="43" max="16384" width="15.83203125" style="9"/>
  </cols>
  <sheetData>
    <row r="3" spans="1:44" ht="16" x14ac:dyDescent="0.2">
      <c r="A3" s="65"/>
      <c r="D3" s="15"/>
      <c r="N3" s="9" t="s">
        <v>2</v>
      </c>
    </row>
    <row r="4" spans="1:44" ht="15" customHeight="1" x14ac:dyDescent="0.2">
      <c r="B4" s="179" t="s">
        <v>38</v>
      </c>
      <c r="C4" s="10"/>
      <c r="D4" s="180" t="s">
        <v>3</v>
      </c>
      <c r="E4" s="180"/>
      <c r="F4" s="180"/>
      <c r="G4" s="180"/>
      <c r="H4" s="180"/>
      <c r="I4" s="180"/>
      <c r="J4" s="180"/>
      <c r="K4" s="180"/>
      <c r="L4" s="180"/>
      <c r="M4" s="180"/>
      <c r="N4" s="11"/>
      <c r="Q4" s="179" t="s">
        <v>38</v>
      </c>
      <c r="R4" s="28"/>
      <c r="S4" s="180" t="s">
        <v>4</v>
      </c>
      <c r="T4" s="180"/>
      <c r="U4" s="180"/>
      <c r="V4" s="180"/>
      <c r="W4" s="180"/>
      <c r="X4" s="180"/>
      <c r="Y4" s="180"/>
      <c r="Z4" s="180"/>
      <c r="AA4" s="180"/>
      <c r="AB4" s="180"/>
      <c r="AD4" s="179" t="s">
        <v>38</v>
      </c>
      <c r="AE4" s="13"/>
      <c r="AF4" s="178" t="s">
        <v>0</v>
      </c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26"/>
      <c r="AR4" s="26"/>
    </row>
    <row r="5" spans="1:44" x14ac:dyDescent="0.2">
      <c r="B5" s="179"/>
      <c r="C5" s="1">
        <v>2019</v>
      </c>
      <c r="D5" s="1">
        <v>2020</v>
      </c>
      <c r="E5" s="1">
        <v>2021</v>
      </c>
      <c r="F5" s="1">
        <v>2022</v>
      </c>
      <c r="G5" s="1">
        <v>2023</v>
      </c>
      <c r="H5" s="1">
        <v>2024</v>
      </c>
      <c r="I5" s="1">
        <v>2025</v>
      </c>
      <c r="J5" s="1">
        <v>2026</v>
      </c>
      <c r="K5" s="1">
        <v>2027</v>
      </c>
      <c r="L5" s="1">
        <v>2028</v>
      </c>
      <c r="M5" s="1">
        <v>2029</v>
      </c>
      <c r="N5" s="1">
        <v>2030</v>
      </c>
      <c r="O5" s="14" t="s">
        <v>5</v>
      </c>
      <c r="Q5" s="179"/>
      <c r="R5" s="29">
        <v>2020</v>
      </c>
      <c r="S5" s="29">
        <v>2021</v>
      </c>
      <c r="T5" s="29">
        <v>2022</v>
      </c>
      <c r="U5" s="29">
        <v>2023</v>
      </c>
      <c r="V5" s="29">
        <v>2024</v>
      </c>
      <c r="W5" s="29">
        <v>2025</v>
      </c>
      <c r="X5" s="29">
        <v>2026</v>
      </c>
      <c r="Y5" s="29">
        <v>2027</v>
      </c>
      <c r="Z5" s="29">
        <v>2028</v>
      </c>
      <c r="AA5" s="29">
        <v>2029</v>
      </c>
      <c r="AB5" s="29">
        <v>2030</v>
      </c>
      <c r="AD5" s="179"/>
      <c r="AE5" s="29">
        <v>2019</v>
      </c>
      <c r="AF5" s="29">
        <v>2020</v>
      </c>
      <c r="AG5" s="29">
        <v>2021</v>
      </c>
      <c r="AH5" s="29">
        <v>2022</v>
      </c>
      <c r="AI5" s="29">
        <v>2023</v>
      </c>
      <c r="AJ5" s="29">
        <v>2024</v>
      </c>
      <c r="AK5" s="29">
        <v>2025</v>
      </c>
      <c r="AL5" s="29">
        <v>2026</v>
      </c>
      <c r="AM5" s="29">
        <v>2027</v>
      </c>
      <c r="AN5" s="29">
        <v>2028</v>
      </c>
      <c r="AO5" s="29">
        <v>2029</v>
      </c>
      <c r="AP5" s="29">
        <v>2030</v>
      </c>
      <c r="AQ5" s="26"/>
      <c r="AR5" s="26"/>
    </row>
    <row r="6" spans="1:44" x14ac:dyDescent="0.2">
      <c r="B6" s="179"/>
      <c r="E6" s="15"/>
      <c r="Q6" s="179"/>
      <c r="AB6" s="36"/>
      <c r="AC6" s="36"/>
      <c r="AD6" s="179"/>
      <c r="AE6" s="16"/>
      <c r="AG6" s="39"/>
      <c r="AQ6" s="46"/>
      <c r="AR6" s="47"/>
    </row>
    <row r="7" spans="1:44" x14ac:dyDescent="0.2">
      <c r="B7" s="17" t="s">
        <v>9</v>
      </c>
      <c r="C7" s="18">
        <f>Global!C34</f>
        <v>3190</v>
      </c>
      <c r="D7" s="18">
        <f>Global!D34</f>
        <v>3271.0954545454547</v>
      </c>
      <c r="E7" s="18">
        <f>Global!E34</f>
        <v>3376.0454545454545</v>
      </c>
      <c r="F7" s="18">
        <f>Global!F34</f>
        <v>3505.0954545454542</v>
      </c>
      <c r="G7" s="18">
        <f>Global!G34</f>
        <v>3682.0181818181818</v>
      </c>
      <c r="H7" s="18">
        <f>Global!H34</f>
        <v>3895.4999999999995</v>
      </c>
      <c r="I7" s="18">
        <f>Global!I34</f>
        <v>4145.909090909091</v>
      </c>
      <c r="J7" s="18">
        <f>Global!J34</f>
        <v>4469.272727272727</v>
      </c>
      <c r="K7" s="18">
        <f>Global!K34</f>
        <v>4878.2545454545452</v>
      </c>
      <c r="L7" s="18">
        <f>Global!L34</f>
        <v>5379.6977272727272</v>
      </c>
      <c r="M7" s="18">
        <f>Global!M34</f>
        <v>5990.1345454545453</v>
      </c>
      <c r="N7" s="18">
        <f>Global!N34</f>
        <v>6731.0095000000001</v>
      </c>
      <c r="O7" s="19">
        <f>((N7/H7)^(1/7)-1)*100%</f>
        <v>8.1262146640939559E-2</v>
      </c>
      <c r="P7" s="24"/>
      <c r="Q7" s="17" t="s">
        <v>9</v>
      </c>
      <c r="R7" s="28">
        <f t="shared" ref="R7:AB18" si="0">(D7/C7-1)*100</f>
        <v>2.5421772584782065</v>
      </c>
      <c r="S7" s="28">
        <f t="shared" si="0"/>
        <v>3.2084053020881242</v>
      </c>
      <c r="T7" s="28">
        <f t="shared" si="0"/>
        <v>3.8225196235509351</v>
      </c>
      <c r="U7" s="28">
        <f t="shared" si="0"/>
        <v>5.0475865655325247</v>
      </c>
      <c r="V7" s="28">
        <f t="shared" si="0"/>
        <v>5.7979566542064154</v>
      </c>
      <c r="W7" s="28">
        <f t="shared" si="0"/>
        <v>6.428163031936629</v>
      </c>
      <c r="X7" s="28">
        <f t="shared" si="0"/>
        <v>7.7995833790154512</v>
      </c>
      <c r="Y7" s="28">
        <f t="shared" si="0"/>
        <v>9.1509702615841562</v>
      </c>
      <c r="Z7" s="28">
        <f t="shared" si="0"/>
        <v>10.279151633967443</v>
      </c>
      <c r="AA7" s="28">
        <f t="shared" si="0"/>
        <v>11.347046788282711</v>
      </c>
      <c r="AB7" s="28">
        <f t="shared" si="0"/>
        <v>12.368252314259752</v>
      </c>
      <c r="AC7" s="25"/>
      <c r="AD7" s="17" t="s">
        <v>9</v>
      </c>
      <c r="AE7" s="20">
        <v>1</v>
      </c>
      <c r="AF7" s="20">
        <v>1</v>
      </c>
      <c r="AG7" s="20">
        <v>1</v>
      </c>
      <c r="AH7" s="20">
        <v>1</v>
      </c>
      <c r="AI7" s="20">
        <v>1</v>
      </c>
      <c r="AJ7" s="20">
        <v>1</v>
      </c>
      <c r="AK7" s="20">
        <v>1</v>
      </c>
      <c r="AL7" s="20">
        <v>1</v>
      </c>
      <c r="AM7" s="20">
        <v>1</v>
      </c>
      <c r="AN7" s="20">
        <v>1</v>
      </c>
      <c r="AO7" s="20">
        <v>1</v>
      </c>
      <c r="AP7" s="20">
        <v>1</v>
      </c>
      <c r="AQ7" s="46"/>
      <c r="AR7" s="47"/>
    </row>
    <row r="8" spans="1:44" x14ac:dyDescent="0.2">
      <c r="B8" s="5" t="s">
        <v>10</v>
      </c>
      <c r="C8" s="21">
        <f>C7*AE8</f>
        <v>1682.7250000000004</v>
      </c>
      <c r="D8" s="21">
        <f t="shared" ref="D8:N8" si="1">D7*AF8</f>
        <v>1723.8673045454548</v>
      </c>
      <c r="E8" s="21">
        <f t="shared" si="1"/>
        <v>1777.487931818182</v>
      </c>
      <c r="F8" s="21">
        <f t="shared" si="1"/>
        <v>1843.6802090909091</v>
      </c>
      <c r="G8" s="21">
        <f t="shared" si="1"/>
        <v>1934.9005545454547</v>
      </c>
      <c r="H8" s="21">
        <f t="shared" si="1"/>
        <v>2045.1374999999998</v>
      </c>
      <c r="I8" s="21">
        <f t="shared" si="1"/>
        <v>2174.5293181818183</v>
      </c>
      <c r="J8" s="21">
        <f t="shared" si="1"/>
        <v>2341.898909090909</v>
      </c>
      <c r="K8" s="21">
        <f t="shared" si="1"/>
        <v>2553.766254545455</v>
      </c>
      <c r="L8" s="21">
        <f t="shared" si="1"/>
        <v>2813.5819113636367</v>
      </c>
      <c r="M8" s="21">
        <f t="shared" si="1"/>
        <v>3129.8453000000004</v>
      </c>
      <c r="N8" s="21">
        <f t="shared" si="1"/>
        <v>3513.5869590000011</v>
      </c>
      <c r="O8" s="19">
        <f t="shared" ref="O8:O18" si="2">((N8/H8)^(1/7)-1)*100%</f>
        <v>8.0377314362564567E-2</v>
      </c>
      <c r="P8" s="24"/>
      <c r="Q8" s="5" t="s">
        <v>10</v>
      </c>
      <c r="R8" s="30">
        <f t="shared" si="0"/>
        <v>2.4449808819298591</v>
      </c>
      <c r="S8" s="30">
        <f t="shared" si="0"/>
        <v>3.1104846139457187</v>
      </c>
      <c r="T8" s="30">
        <f t="shared" si="0"/>
        <v>3.7239227388182305</v>
      </c>
      <c r="U8" s="30">
        <f t="shared" si="0"/>
        <v>4.9477314452230914</v>
      </c>
      <c r="V8" s="30">
        <f t="shared" si="0"/>
        <v>5.6972925660482732</v>
      </c>
      <c r="W8" s="30">
        <f t="shared" si="0"/>
        <v>6.3268028766681139</v>
      </c>
      <c r="X8" s="30">
        <f t="shared" si="0"/>
        <v>7.6968192385206802</v>
      </c>
      <c r="Y8" s="30">
        <f t="shared" si="0"/>
        <v>9.0468185724032821</v>
      </c>
      <c r="Z8" s="30">
        <f t="shared" si="0"/>
        <v>10.173822931356202</v>
      </c>
      <c r="AA8" s="30">
        <f t="shared" si="0"/>
        <v>11.240596456745156</v>
      </c>
      <c r="AB8" s="30">
        <f t="shared" si="0"/>
        <v>12.260722886207853</v>
      </c>
      <c r="AC8" s="132">
        <v>0.01</v>
      </c>
      <c r="AD8" s="5" t="s">
        <v>10</v>
      </c>
      <c r="AE8" s="75">
        <v>0.52750000000000008</v>
      </c>
      <c r="AF8" s="75">
        <v>0.52700000000000002</v>
      </c>
      <c r="AG8" s="75">
        <v>0.52650000000000008</v>
      </c>
      <c r="AH8" s="75">
        <v>0.52600000000000002</v>
      </c>
      <c r="AI8" s="75">
        <v>0.52550000000000008</v>
      </c>
      <c r="AJ8" s="75">
        <v>0.52500000000000002</v>
      </c>
      <c r="AK8" s="75">
        <v>0.52450000000000008</v>
      </c>
      <c r="AL8" s="75">
        <v>0.52400000000000002</v>
      </c>
      <c r="AM8" s="75">
        <v>0.52350000000000008</v>
      </c>
      <c r="AN8" s="75">
        <v>0.52300000000000002</v>
      </c>
      <c r="AO8" s="75">
        <v>0.52250000000000008</v>
      </c>
      <c r="AP8" s="75">
        <v>0.52200000000000013</v>
      </c>
      <c r="AQ8" s="46"/>
      <c r="AR8" s="47"/>
    </row>
    <row r="9" spans="1:44" s="78" customFormat="1" x14ac:dyDescent="0.2">
      <c r="B9" s="91" t="s">
        <v>11</v>
      </c>
      <c r="C9" s="79">
        <f>C7*AE9</f>
        <v>626.83500000000004</v>
      </c>
      <c r="D9" s="79">
        <f t="shared" ref="D9:N9" si="3">D7*AF9</f>
        <v>641.43208140495869</v>
      </c>
      <c r="E9" s="79">
        <f t="shared" si="3"/>
        <v>660.63071280991744</v>
      </c>
      <c r="F9" s="79">
        <f t="shared" si="3"/>
        <v>684.44954876033057</v>
      </c>
      <c r="G9" s="79">
        <f t="shared" si="3"/>
        <v>717.4914520661157</v>
      </c>
      <c r="H9" s="79">
        <f t="shared" si="3"/>
        <v>757.49768181818172</v>
      </c>
      <c r="I9" s="79">
        <f t="shared" si="3"/>
        <v>804.49481404958681</v>
      </c>
      <c r="J9" s="79">
        <f t="shared" si="3"/>
        <v>865.41371900826437</v>
      </c>
      <c r="K9" s="79">
        <f t="shared" si="3"/>
        <v>942.61182148760338</v>
      </c>
      <c r="L9" s="79">
        <f t="shared" si="3"/>
        <v>1037.3035345041324</v>
      </c>
      <c r="M9" s="79">
        <f t="shared" si="3"/>
        <v>1152.5563423140495</v>
      </c>
      <c r="N9" s="79">
        <f t="shared" si="3"/>
        <v>1292.353824</v>
      </c>
      <c r="O9" s="105">
        <f t="shared" si="2"/>
        <v>7.9301734192661844E-2</v>
      </c>
      <c r="P9" s="80"/>
      <c r="Q9" s="91" t="s">
        <v>11</v>
      </c>
      <c r="R9" s="81">
        <f t="shared" si="0"/>
        <v>2.3286959734154289</v>
      </c>
      <c r="S9" s="81">
        <f t="shared" si="0"/>
        <v>2.9930887402618067</v>
      </c>
      <c r="T9" s="81">
        <f t="shared" si="0"/>
        <v>3.6054690598780192</v>
      </c>
      <c r="U9" s="81">
        <f t="shared" si="0"/>
        <v>4.8275148059678585</v>
      </c>
      <c r="V9" s="81">
        <f t="shared" si="0"/>
        <v>5.5758475779554617</v>
      </c>
      <c r="W9" s="81">
        <f t="shared" si="0"/>
        <v>6.2042608656702969</v>
      </c>
      <c r="X9" s="81">
        <f t="shared" si="0"/>
        <v>7.5723179186239831</v>
      </c>
      <c r="Y9" s="81">
        <f t="shared" si="0"/>
        <v>8.9203696201864524</v>
      </c>
      <c r="Z9" s="81">
        <f t="shared" si="0"/>
        <v>10.045674248715564</v>
      </c>
      <c r="AA9" s="81">
        <f t="shared" si="0"/>
        <v>11.110808358038815</v>
      </c>
      <c r="AB9" s="81">
        <f t="shared" si="0"/>
        <v>12.1293403674541</v>
      </c>
      <c r="AC9" s="135">
        <v>0.01</v>
      </c>
      <c r="AD9" s="91" t="s">
        <v>11</v>
      </c>
      <c r="AE9" s="164">
        <v>0.19650000000000001</v>
      </c>
      <c r="AF9" s="164">
        <v>0.19609090909090909</v>
      </c>
      <c r="AG9" s="164">
        <v>0.19568181818181821</v>
      </c>
      <c r="AH9" s="164">
        <v>0.19527272727272729</v>
      </c>
      <c r="AI9" s="164">
        <v>0.19486363636363638</v>
      </c>
      <c r="AJ9" s="164">
        <v>0.19445454545454546</v>
      </c>
      <c r="AK9" s="164">
        <v>0.19404545454545455</v>
      </c>
      <c r="AL9" s="164">
        <v>0.19363636363636363</v>
      </c>
      <c r="AM9" s="164">
        <v>0.19322727272727275</v>
      </c>
      <c r="AN9" s="164">
        <v>0.19281818181818183</v>
      </c>
      <c r="AO9" s="164">
        <v>0.19240909090909092</v>
      </c>
      <c r="AP9" s="164">
        <v>0.192</v>
      </c>
      <c r="AQ9" s="83"/>
      <c r="AR9" s="83"/>
    </row>
    <row r="10" spans="1:44" s="78" customFormat="1" x14ac:dyDescent="0.2">
      <c r="B10" s="91" t="s">
        <v>12</v>
      </c>
      <c r="C10" s="79">
        <f>C7*AE10</f>
        <v>347.71</v>
      </c>
      <c r="D10" s="79">
        <f t="shared" ref="D10:N10" si="4">D7*AF10</f>
        <v>356.69809070247936</v>
      </c>
      <c r="E10" s="79">
        <f t="shared" si="4"/>
        <v>368.29586776859509</v>
      </c>
      <c r="F10" s="79">
        <f t="shared" si="4"/>
        <v>382.53337210743803</v>
      </c>
      <c r="G10" s="79">
        <f t="shared" si="4"/>
        <v>402.00943966942151</v>
      </c>
      <c r="H10" s="79">
        <f t="shared" si="4"/>
        <v>425.49484090909084</v>
      </c>
      <c r="I10" s="79">
        <f t="shared" si="4"/>
        <v>453.03479338842976</v>
      </c>
      <c r="J10" s="79">
        <f t="shared" si="4"/>
        <v>488.57276859504128</v>
      </c>
      <c r="K10" s="79">
        <f t="shared" si="4"/>
        <v>533.50365619834713</v>
      </c>
      <c r="L10" s="79">
        <f t="shared" si="4"/>
        <v>588.58783770661159</v>
      </c>
      <c r="M10" s="79">
        <f t="shared" si="4"/>
        <v>655.64745388429753</v>
      </c>
      <c r="N10" s="79">
        <f t="shared" si="4"/>
        <v>737.04554025000004</v>
      </c>
      <c r="O10" s="105">
        <f t="shared" si="2"/>
        <v>8.1647417510583464E-2</v>
      </c>
      <c r="P10" s="80"/>
      <c r="Q10" s="91" t="s">
        <v>12</v>
      </c>
      <c r="R10" s="81">
        <f t="shared" si="0"/>
        <v>2.5849388002874285</v>
      </c>
      <c r="S10" s="81">
        <f t="shared" ref="S10:S18" si="5">(E10/D10-1)*100</f>
        <v>3.2514267298922483</v>
      </c>
      <c r="T10" s="81">
        <f t="shared" ref="T10:T18" si="6">(F10/E10-1)*100</f>
        <v>3.8657790067274211</v>
      </c>
      <c r="U10" s="81">
        <f t="shared" ref="U10:U18" si="7">(G10/F10-1)*100</f>
        <v>5.0913381634356991</v>
      </c>
      <c r="V10" s="81">
        <f t="shared" ref="V10:V18" si="8">(H10/G10-1)*100</f>
        <v>5.8420024313313945</v>
      </c>
      <c r="W10" s="81">
        <f t="shared" ref="W10:W18" si="9">(I10/H10-1)*100</f>
        <v>6.4724527377343577</v>
      </c>
      <c r="X10" s="81">
        <f t="shared" ref="X10:X18" si="10">(J10/I10-1)*100</f>
        <v>7.844425135828681</v>
      </c>
      <c r="Y10" s="81">
        <f t="shared" ref="Y10:Y18" si="11">(K10/J10-1)*100</f>
        <v>9.1963552804039459</v>
      </c>
      <c r="Z10" s="81">
        <f t="shared" ref="Z10:Z18" si="12">(L10/K10-1)*100</f>
        <v>10.324986692834415</v>
      </c>
      <c r="AA10" s="81">
        <f t="shared" ref="AA10:AA18" si="13">(M10/L10-1)*100</f>
        <v>11.393306467048102</v>
      </c>
      <c r="AB10" s="81">
        <f t="shared" ref="AB10:AB18" si="14">(N10/M10-1)*100</f>
        <v>12.414916870868664</v>
      </c>
      <c r="AC10" s="112">
        <v>0.03</v>
      </c>
      <c r="AD10" s="91" t="s">
        <v>12</v>
      </c>
      <c r="AE10" s="82">
        <v>0.109</v>
      </c>
      <c r="AF10" s="82">
        <v>0.10904545454545454</v>
      </c>
      <c r="AG10" s="82">
        <v>0.1090909090909091</v>
      </c>
      <c r="AH10" s="82">
        <v>0.10913636363636364</v>
      </c>
      <c r="AI10" s="82">
        <v>0.10918181818181819</v>
      </c>
      <c r="AJ10" s="82">
        <v>0.10922727272727273</v>
      </c>
      <c r="AK10" s="82">
        <v>0.10927272727272727</v>
      </c>
      <c r="AL10" s="82">
        <v>0.10931818181818181</v>
      </c>
      <c r="AM10" s="82">
        <v>0.10936363636363637</v>
      </c>
      <c r="AN10" s="82">
        <v>0.10940909090909091</v>
      </c>
      <c r="AO10" s="82">
        <v>0.10945454545454546</v>
      </c>
      <c r="AP10" s="82">
        <v>0.1095</v>
      </c>
      <c r="AQ10" s="82"/>
      <c r="AR10" s="83"/>
    </row>
    <row r="11" spans="1:44" s="78" customFormat="1" x14ac:dyDescent="0.2">
      <c r="B11" s="90" t="s">
        <v>14</v>
      </c>
      <c r="C11" s="79">
        <f t="shared" ref="C11:N11" si="15">C7*AE11</f>
        <v>376.41999999999996</v>
      </c>
      <c r="D11" s="79">
        <f t="shared" si="15"/>
        <v>385.09714669421487</v>
      </c>
      <c r="E11" s="79">
        <f t="shared" si="15"/>
        <v>396.53188429752066</v>
      </c>
      <c r="F11" s="79">
        <f t="shared" si="15"/>
        <v>410.73345826446274</v>
      </c>
      <c r="G11" s="79">
        <f t="shared" si="15"/>
        <v>430.46139834710743</v>
      </c>
      <c r="H11" s="79">
        <f t="shared" si="15"/>
        <v>454.35695454545447</v>
      </c>
      <c r="I11" s="79">
        <f t="shared" si="15"/>
        <v>482.43305785123965</v>
      </c>
      <c r="J11" s="79">
        <f t="shared" si="15"/>
        <v>518.84193388429753</v>
      </c>
      <c r="K11" s="79">
        <f t="shared" si="15"/>
        <v>564.99057190082647</v>
      </c>
      <c r="L11" s="79">
        <f t="shared" si="15"/>
        <v>621.59961921487604</v>
      </c>
      <c r="M11" s="79">
        <f t="shared" si="15"/>
        <v>690.49914578512403</v>
      </c>
      <c r="N11" s="79">
        <f t="shared" si="15"/>
        <v>774.06609250000008</v>
      </c>
      <c r="O11" s="105">
        <f t="shared" si="2"/>
        <v>7.9081902943660909E-2</v>
      </c>
      <c r="P11" s="80"/>
      <c r="Q11" s="90" t="s">
        <v>14</v>
      </c>
      <c r="R11" s="81">
        <f t="shared" si="0"/>
        <v>2.3051768487899027</v>
      </c>
      <c r="S11" s="81">
        <f t="shared" si="5"/>
        <v>2.9693124712724783</v>
      </c>
      <c r="T11" s="81">
        <f t="shared" si="6"/>
        <v>3.5814456615767432</v>
      </c>
      <c r="U11" s="81">
        <f t="shared" si="7"/>
        <v>4.8031003283745877</v>
      </c>
      <c r="V11" s="81">
        <f t="shared" si="8"/>
        <v>5.5511496013583406</v>
      </c>
      <c r="W11" s="81">
        <f t="shared" si="9"/>
        <v>6.1793052851744967</v>
      </c>
      <c r="X11" s="81">
        <f t="shared" si="10"/>
        <v>7.546928105470907</v>
      </c>
      <c r="Y11" s="81">
        <f t="shared" si="11"/>
        <v>8.894546682269544</v>
      </c>
      <c r="Z11" s="81">
        <f t="shared" si="12"/>
        <v>10.019467603432197</v>
      </c>
      <c r="AA11" s="81">
        <f t="shared" si="13"/>
        <v>11.084229211284423</v>
      </c>
      <c r="AB11" s="81">
        <f t="shared" si="14"/>
        <v>12.102396827711814</v>
      </c>
      <c r="AC11" s="112">
        <v>0.02</v>
      </c>
      <c r="AD11" s="90" t="s">
        <v>14</v>
      </c>
      <c r="AE11" s="82">
        <v>0.11799999999999999</v>
      </c>
      <c r="AF11" s="82">
        <v>0.11772727272727272</v>
      </c>
      <c r="AG11" s="82">
        <v>0.11745454545454545</v>
      </c>
      <c r="AH11" s="82">
        <v>0.11718181818181818</v>
      </c>
      <c r="AI11" s="82">
        <v>0.11690909090909091</v>
      </c>
      <c r="AJ11" s="82">
        <v>0.11663636363636364</v>
      </c>
      <c r="AK11" s="82">
        <v>0.11636363636363636</v>
      </c>
      <c r="AL11" s="82">
        <v>0.11609090909090909</v>
      </c>
      <c r="AM11" s="82">
        <v>0.11581818181818182</v>
      </c>
      <c r="AN11" s="82">
        <v>0.11554545454545455</v>
      </c>
      <c r="AO11" s="82">
        <v>0.11527272727272728</v>
      </c>
      <c r="AP11" s="82">
        <v>0.115</v>
      </c>
      <c r="AQ11" s="82"/>
      <c r="AR11" s="83"/>
    </row>
    <row r="12" spans="1:44" s="78" customFormat="1" x14ac:dyDescent="0.2">
      <c r="B12" s="91" t="s">
        <v>13</v>
      </c>
      <c r="C12" s="79">
        <f t="shared" ref="C12:N12" si="16">C7*AE12</f>
        <v>331.76</v>
      </c>
      <c r="D12" s="79">
        <f t="shared" si="16"/>
        <v>340.63998574380162</v>
      </c>
      <c r="E12" s="79">
        <f t="shared" si="16"/>
        <v>352.02946694214876</v>
      </c>
      <c r="F12" s="79">
        <f t="shared" si="16"/>
        <v>365.96382995867759</v>
      </c>
      <c r="G12" s="79">
        <f t="shared" si="16"/>
        <v>384.93826446280991</v>
      </c>
      <c r="H12" s="79">
        <f t="shared" si="16"/>
        <v>407.78802272727262</v>
      </c>
      <c r="I12" s="79">
        <f t="shared" si="16"/>
        <v>434.56665289256193</v>
      </c>
      <c r="J12" s="79">
        <f t="shared" si="16"/>
        <v>469.07048760330571</v>
      </c>
      <c r="K12" s="79">
        <f t="shared" si="16"/>
        <v>512.66020495867758</v>
      </c>
      <c r="L12" s="79">
        <f t="shared" si="16"/>
        <v>566.09091993801644</v>
      </c>
      <c r="M12" s="79">
        <f t="shared" si="16"/>
        <v>631.14235801652887</v>
      </c>
      <c r="N12" s="79">
        <f t="shared" si="16"/>
        <v>710.12150224999993</v>
      </c>
      <c r="O12" s="105">
        <f t="shared" si="2"/>
        <v>8.2465411864822702E-2</v>
      </c>
      <c r="P12" s="80"/>
      <c r="Q12" s="91" t="s">
        <v>13</v>
      </c>
      <c r="R12" s="81">
        <f t="shared" si="0"/>
        <v>2.6766294139744407</v>
      </c>
      <c r="S12" s="81">
        <f t="shared" si="5"/>
        <v>3.3435538031384437</v>
      </c>
      <c r="T12" s="81">
        <f t="shared" si="6"/>
        <v>3.9582944966418898</v>
      </c>
      <c r="U12" s="81">
        <f t="shared" si="7"/>
        <v>5.1847841100238767</v>
      </c>
      <c r="V12" s="81">
        <f t="shared" si="8"/>
        <v>5.9359539889727753</v>
      </c>
      <c r="W12" s="81">
        <f t="shared" si="9"/>
        <v>6.5668015421823211</v>
      </c>
      <c r="X12" s="81">
        <f t="shared" si="10"/>
        <v>7.9398256817635238</v>
      </c>
      <c r="Y12" s="81">
        <f t="shared" si="11"/>
        <v>9.2927861605814464</v>
      </c>
      <c r="Z12" s="81">
        <f t="shared" si="12"/>
        <v>10.422247418959607</v>
      </c>
      <c r="AA12" s="81">
        <f t="shared" si="13"/>
        <v>11.491341017382005</v>
      </c>
      <c r="AB12" s="81">
        <f t="shared" si="14"/>
        <v>12.513681458756199</v>
      </c>
      <c r="AC12" s="112">
        <v>0.04</v>
      </c>
      <c r="AD12" s="91" t="s">
        <v>13</v>
      </c>
      <c r="AE12" s="82">
        <v>0.104</v>
      </c>
      <c r="AF12" s="82">
        <v>0.10413636363636362</v>
      </c>
      <c r="AG12" s="82">
        <v>0.10427272727272727</v>
      </c>
      <c r="AH12" s="82">
        <v>0.1044090909090909</v>
      </c>
      <c r="AI12" s="82">
        <v>0.10454545454545454</v>
      </c>
      <c r="AJ12" s="82">
        <v>0.10468181818181817</v>
      </c>
      <c r="AK12" s="82">
        <v>0.10481818181818181</v>
      </c>
      <c r="AL12" s="82">
        <v>0.10495454545454544</v>
      </c>
      <c r="AM12" s="82">
        <v>0.10509090909090908</v>
      </c>
      <c r="AN12" s="82">
        <v>0.10522727272727271</v>
      </c>
      <c r="AO12" s="82">
        <v>0.10536363636363635</v>
      </c>
      <c r="AP12" s="82">
        <v>0.1055</v>
      </c>
      <c r="AQ12" s="82"/>
      <c r="AR12" s="83"/>
    </row>
    <row r="13" spans="1:44" x14ac:dyDescent="0.2">
      <c r="B13" s="5" t="s">
        <v>15</v>
      </c>
      <c r="C13" s="21">
        <f t="shared" ref="C13:N13" si="17">C7*AE13</f>
        <v>1507.2749999999996</v>
      </c>
      <c r="D13" s="21">
        <f t="shared" si="17"/>
        <v>1547.2281499999999</v>
      </c>
      <c r="E13" s="21">
        <f t="shared" si="17"/>
        <v>1598.5575227272725</v>
      </c>
      <c r="F13" s="21">
        <f t="shared" si="17"/>
        <v>1661.4152454545451</v>
      </c>
      <c r="G13" s="21">
        <f t="shared" si="17"/>
        <v>1747.1176272727271</v>
      </c>
      <c r="H13" s="21">
        <f t="shared" si="17"/>
        <v>1850.3624999999997</v>
      </c>
      <c r="I13" s="21">
        <f t="shared" si="17"/>
        <v>1971.3797727272727</v>
      </c>
      <c r="J13" s="21">
        <f t="shared" si="17"/>
        <v>2127.373818181818</v>
      </c>
      <c r="K13" s="21">
        <f t="shared" si="17"/>
        <v>2324.4882909090907</v>
      </c>
      <c r="L13" s="21">
        <f t="shared" si="17"/>
        <v>2566.1158159090905</v>
      </c>
      <c r="M13" s="21">
        <f t="shared" si="17"/>
        <v>2860.2892454545454</v>
      </c>
      <c r="N13" s="21">
        <f t="shared" si="17"/>
        <v>3217.4225409999999</v>
      </c>
      <c r="O13" s="19">
        <f t="shared" si="2"/>
        <v>8.2235091134318372E-2</v>
      </c>
      <c r="P13" s="24"/>
      <c r="Q13" s="5" t="s">
        <v>15</v>
      </c>
      <c r="R13" s="30">
        <f t="shared" si="0"/>
        <v>2.6506874989633777</v>
      </c>
      <c r="S13" s="30">
        <f t="shared" si="5"/>
        <v>3.3175050962763741</v>
      </c>
      <c r="T13" s="30">
        <f t="shared" si="6"/>
        <v>3.932152696015101</v>
      </c>
      <c r="U13" s="30">
        <f t="shared" si="7"/>
        <v>5.1583962560024954</v>
      </c>
      <c r="V13" s="30">
        <f t="shared" si="8"/>
        <v>5.909440275549116</v>
      </c>
      <c r="W13" s="30">
        <f t="shared" si="9"/>
        <v>6.5401926772334029</v>
      </c>
      <c r="X13" s="30">
        <f t="shared" si="10"/>
        <v>7.9129373047557516</v>
      </c>
      <c r="Y13" s="30">
        <f t="shared" si="11"/>
        <v>9.2656246421110247</v>
      </c>
      <c r="Z13" s="30">
        <f t="shared" si="12"/>
        <v>10.394869526552931</v>
      </c>
      <c r="AA13" s="30">
        <f t="shared" si="13"/>
        <v>11.463762770241104</v>
      </c>
      <c r="AB13" s="30">
        <f t="shared" si="14"/>
        <v>12.485915405688285</v>
      </c>
      <c r="AC13" s="24">
        <v>0.02</v>
      </c>
      <c r="AD13" s="5" t="s">
        <v>15</v>
      </c>
      <c r="AE13" s="158">
        <v>0.47249999999999992</v>
      </c>
      <c r="AF13" s="158">
        <v>0.47299999999999992</v>
      </c>
      <c r="AG13" s="158">
        <v>0.47349999999999992</v>
      </c>
      <c r="AH13" s="158">
        <v>0.47399999999999992</v>
      </c>
      <c r="AI13" s="158">
        <v>0.47449999999999992</v>
      </c>
      <c r="AJ13" s="158">
        <v>0.47499999999999998</v>
      </c>
      <c r="AK13" s="158">
        <v>0.47549999999999998</v>
      </c>
      <c r="AL13" s="158">
        <v>0.47599999999999998</v>
      </c>
      <c r="AM13" s="158">
        <v>0.47649999999999998</v>
      </c>
      <c r="AN13" s="158">
        <v>0.47699999999999998</v>
      </c>
      <c r="AO13" s="158">
        <v>0.47749999999999998</v>
      </c>
      <c r="AP13" s="158">
        <v>0.47799999999999998</v>
      </c>
      <c r="AQ13" s="82"/>
      <c r="AR13" s="26"/>
    </row>
    <row r="14" spans="1:44" s="78" customFormat="1" x14ac:dyDescent="0.2">
      <c r="B14" s="91" t="s">
        <v>16</v>
      </c>
      <c r="C14" s="79">
        <f t="shared" ref="C14:N14" si="18">C7*AE14</f>
        <v>350.9</v>
      </c>
      <c r="D14" s="79">
        <f t="shared" si="18"/>
        <v>360.08813508264467</v>
      </c>
      <c r="E14" s="79">
        <f t="shared" si="18"/>
        <v>371.91744380165289</v>
      </c>
      <c r="F14" s="79">
        <f t="shared" si="18"/>
        <v>386.42084161157021</v>
      </c>
      <c r="G14" s="79">
        <f t="shared" si="18"/>
        <v>406.22702413223141</v>
      </c>
      <c r="H14" s="79">
        <f t="shared" si="18"/>
        <v>430.09861363636355</v>
      </c>
      <c r="I14" s="79">
        <f t="shared" si="18"/>
        <v>458.0852644628099</v>
      </c>
      <c r="J14" s="79">
        <f t="shared" si="18"/>
        <v>494.17967438016524</v>
      </c>
      <c r="K14" s="79">
        <f t="shared" si="18"/>
        <v>539.80103933884288</v>
      </c>
      <c r="L14" s="79">
        <f t="shared" si="18"/>
        <v>595.72816378099174</v>
      </c>
      <c r="M14" s="79">
        <f t="shared" si="18"/>
        <v>663.81581917355368</v>
      </c>
      <c r="N14" s="79">
        <f t="shared" si="18"/>
        <v>746.46895355000004</v>
      </c>
      <c r="O14" s="105">
        <f t="shared" si="2"/>
        <v>8.1947639787672832E-2</v>
      </c>
      <c r="P14" s="80"/>
      <c r="Q14" s="91" t="s">
        <v>16</v>
      </c>
      <c r="R14" s="81">
        <f t="shared" si="0"/>
        <v>2.6184482994142666</v>
      </c>
      <c r="S14" s="81">
        <f t="shared" si="5"/>
        <v>3.2851148278721487</v>
      </c>
      <c r="T14" s="81">
        <f t="shared" si="6"/>
        <v>3.8996282781649017</v>
      </c>
      <c r="U14" s="81">
        <f t="shared" si="7"/>
        <v>5.1255471723676616</v>
      </c>
      <c r="V14" s="81">
        <f t="shared" si="8"/>
        <v>5.8764159167218999</v>
      </c>
      <c r="W14" s="81">
        <f t="shared" si="9"/>
        <v>6.507031164278132</v>
      </c>
      <c r="X14" s="81">
        <f t="shared" si="10"/>
        <v>7.8794086423370935</v>
      </c>
      <c r="Y14" s="81">
        <f t="shared" si="11"/>
        <v>9.2317364156871093</v>
      </c>
      <c r="Z14" s="81">
        <f t="shared" si="12"/>
        <v>10.360692248879189</v>
      </c>
      <c r="AA14" s="81">
        <f t="shared" si="13"/>
        <v>11.429316176764326</v>
      </c>
      <c r="AB14" s="81">
        <f t="shared" si="14"/>
        <v>12.451214928765776</v>
      </c>
      <c r="AC14" s="112">
        <v>0.02</v>
      </c>
      <c r="AD14" s="91" t="s">
        <v>16</v>
      </c>
      <c r="AE14" s="85">
        <v>0.11</v>
      </c>
      <c r="AF14" s="85">
        <v>0.11008181818181818</v>
      </c>
      <c r="AG14" s="85">
        <v>0.11016363636363637</v>
      </c>
      <c r="AH14" s="85">
        <v>0.11024545454545455</v>
      </c>
      <c r="AI14" s="85">
        <v>0.11032727272727273</v>
      </c>
      <c r="AJ14" s="85">
        <v>0.1104090909090909</v>
      </c>
      <c r="AK14" s="85">
        <v>0.11049090909090908</v>
      </c>
      <c r="AL14" s="85">
        <v>0.11057272727272727</v>
      </c>
      <c r="AM14" s="85">
        <v>0.11065454545454545</v>
      </c>
      <c r="AN14" s="85">
        <v>0.11073636363636363</v>
      </c>
      <c r="AO14" s="85">
        <v>0.11081818181818182</v>
      </c>
      <c r="AP14" s="85">
        <v>0.1109</v>
      </c>
      <c r="AQ14" s="82"/>
      <c r="AR14" s="83"/>
    </row>
    <row r="15" spans="1:44" s="78" customFormat="1" x14ac:dyDescent="0.2">
      <c r="B15" s="91" t="s">
        <v>17</v>
      </c>
      <c r="C15" s="79">
        <f t="shared" ref="C15:N15" si="19">C7*AE15</f>
        <v>339.73500000000001</v>
      </c>
      <c r="D15" s="79">
        <f t="shared" si="19"/>
        <v>348.66903822314055</v>
      </c>
      <c r="E15" s="79">
        <f t="shared" si="19"/>
        <v>360.16266735537192</v>
      </c>
      <c r="F15" s="79">
        <f t="shared" si="19"/>
        <v>374.24860103305781</v>
      </c>
      <c r="G15" s="79">
        <f t="shared" si="19"/>
        <v>393.47385206611574</v>
      </c>
      <c r="H15" s="79">
        <f t="shared" si="19"/>
        <v>416.64143181818179</v>
      </c>
      <c r="I15" s="79">
        <f t="shared" si="19"/>
        <v>443.8007231404959</v>
      </c>
      <c r="J15" s="79">
        <f t="shared" si="19"/>
        <v>478.82162809917355</v>
      </c>
      <c r="K15" s="79">
        <f t="shared" si="19"/>
        <v>523.08193057851236</v>
      </c>
      <c r="L15" s="79">
        <f t="shared" si="19"/>
        <v>577.33937882231407</v>
      </c>
      <c r="M15" s="79">
        <f t="shared" si="19"/>
        <v>643.3949059504132</v>
      </c>
      <c r="N15" s="79">
        <f t="shared" si="19"/>
        <v>723.58352124999999</v>
      </c>
      <c r="O15" s="105">
        <f t="shared" si="2"/>
        <v>8.2048187301150488E-2</v>
      </c>
      <c r="P15" s="80"/>
      <c r="Q15" s="91" t="s">
        <v>17</v>
      </c>
      <c r="R15" s="81">
        <f t="shared" si="0"/>
        <v>2.629707926219127</v>
      </c>
      <c r="S15" s="81">
        <f t="shared" si="5"/>
        <v>3.2964295283585576</v>
      </c>
      <c r="T15" s="81">
        <f t="shared" si="6"/>
        <v>3.9109921583813989</v>
      </c>
      <c r="U15" s="81">
        <f t="shared" si="7"/>
        <v>5.1370268265504393</v>
      </c>
      <c r="V15" s="81">
        <f t="shared" si="8"/>
        <v>5.8879591694375621</v>
      </c>
      <c r="W15" s="81">
        <f t="shared" si="9"/>
        <v>6.518624708971843</v>
      </c>
      <c r="X15" s="81">
        <f t="shared" si="10"/>
        <v>7.8911329190400892</v>
      </c>
      <c r="Y15" s="81">
        <f t="shared" si="11"/>
        <v>9.243588819294434</v>
      </c>
      <c r="Z15" s="81">
        <f t="shared" si="12"/>
        <v>10.372648159303587</v>
      </c>
      <c r="AA15" s="81">
        <f t="shared" si="13"/>
        <v>11.441368725418055</v>
      </c>
      <c r="AB15" s="81">
        <f t="shared" si="14"/>
        <v>12.463358748719555</v>
      </c>
      <c r="AC15" s="112">
        <v>0.03</v>
      </c>
      <c r="AD15" s="91" t="s">
        <v>17</v>
      </c>
      <c r="AE15" s="82">
        <v>0.1065</v>
      </c>
      <c r="AF15" s="82">
        <v>0.1065909090909091</v>
      </c>
      <c r="AG15" s="82">
        <v>0.10668181818181818</v>
      </c>
      <c r="AH15" s="82">
        <v>0.10677272727272727</v>
      </c>
      <c r="AI15" s="82">
        <v>0.10686363636363637</v>
      </c>
      <c r="AJ15" s="82">
        <v>0.10695454545454545</v>
      </c>
      <c r="AK15" s="82">
        <v>0.10704545454545455</v>
      </c>
      <c r="AL15" s="82">
        <v>0.10713636363636364</v>
      </c>
      <c r="AM15" s="82">
        <v>0.10722727272727273</v>
      </c>
      <c r="AN15" s="82">
        <v>0.10731818181818183</v>
      </c>
      <c r="AO15" s="82">
        <v>0.10740909090909091</v>
      </c>
      <c r="AP15" s="82">
        <v>0.1075</v>
      </c>
      <c r="AQ15" s="82"/>
      <c r="AR15" s="83"/>
    </row>
    <row r="16" spans="1:44" s="78" customFormat="1" x14ac:dyDescent="0.2">
      <c r="B16" s="91" t="s">
        <v>18</v>
      </c>
      <c r="C16" s="79">
        <f t="shared" ref="C16:N16" si="20">C7*AE16</f>
        <v>385.99</v>
      </c>
      <c r="D16" s="79">
        <f t="shared" si="20"/>
        <v>395.95123615702477</v>
      </c>
      <c r="E16" s="79">
        <f t="shared" si="20"/>
        <v>408.80841322314052</v>
      </c>
      <c r="F16" s="79">
        <f t="shared" si="20"/>
        <v>424.59451756198342</v>
      </c>
      <c r="G16" s="79">
        <f t="shared" si="20"/>
        <v>446.19365785123966</v>
      </c>
      <c r="H16" s="79">
        <f t="shared" si="20"/>
        <v>472.24084090909082</v>
      </c>
      <c r="I16" s="79">
        <f t="shared" si="20"/>
        <v>502.78570247933885</v>
      </c>
      <c r="J16" s="79">
        <f t="shared" si="20"/>
        <v>542.20404132231397</v>
      </c>
      <c r="K16" s="79">
        <f t="shared" si="20"/>
        <v>592.04271074380165</v>
      </c>
      <c r="L16" s="79">
        <f t="shared" si="20"/>
        <v>653.14421043388427</v>
      </c>
      <c r="M16" s="79">
        <f t="shared" si="20"/>
        <v>727.5290684297521</v>
      </c>
      <c r="N16" s="79">
        <f t="shared" si="20"/>
        <v>817.81765425000003</v>
      </c>
      <c r="O16" s="105">
        <f t="shared" si="2"/>
        <v>8.1609317163477968E-2</v>
      </c>
      <c r="P16" s="80"/>
      <c r="Q16" s="91" t="s">
        <v>18</v>
      </c>
      <c r="R16" s="81">
        <f t="shared" si="0"/>
        <v>2.5806979862236679</v>
      </c>
      <c r="S16" s="81">
        <f t="shared" si="5"/>
        <v>3.2471617441843126</v>
      </c>
      <c r="T16" s="81">
        <f t="shared" si="6"/>
        <v>3.8614920408270414</v>
      </c>
      <c r="U16" s="81">
        <f t="shared" si="7"/>
        <v>5.0870040464201516</v>
      </c>
      <c r="V16" s="81">
        <f t="shared" si="8"/>
        <v>5.8376408089904519</v>
      </c>
      <c r="W16" s="81">
        <f t="shared" si="9"/>
        <v>6.4680686048769864</v>
      </c>
      <c r="X16" s="81">
        <f t="shared" si="10"/>
        <v>7.8399880204618411</v>
      </c>
      <c r="Y16" s="81">
        <f t="shared" si="11"/>
        <v>9.1918660915810015</v>
      </c>
      <c r="Z16" s="81">
        <f t="shared" si="12"/>
        <v>10.320454687013857</v>
      </c>
      <c r="AA16" s="81">
        <f t="shared" si="13"/>
        <v>11.388734188802484</v>
      </c>
      <c r="AB16" s="81">
        <f t="shared" si="14"/>
        <v>12.410306300904317</v>
      </c>
      <c r="AC16" s="135">
        <v>0.01</v>
      </c>
      <c r="AD16" s="91" t="s">
        <v>18</v>
      </c>
      <c r="AE16" s="159">
        <v>0.121</v>
      </c>
      <c r="AF16" s="159">
        <v>0.12104545454545454</v>
      </c>
      <c r="AG16" s="159">
        <v>0.1210909090909091</v>
      </c>
      <c r="AH16" s="159">
        <v>0.12113636363636364</v>
      </c>
      <c r="AI16" s="159">
        <v>0.12118181818181818</v>
      </c>
      <c r="AJ16" s="159">
        <v>0.12122727272727273</v>
      </c>
      <c r="AK16" s="159">
        <v>0.12127272727272727</v>
      </c>
      <c r="AL16" s="159">
        <v>0.12131818181818181</v>
      </c>
      <c r="AM16" s="159">
        <v>0.12136363636363637</v>
      </c>
      <c r="AN16" s="159">
        <v>0.12140909090909091</v>
      </c>
      <c r="AO16" s="159">
        <v>0.12145454545454545</v>
      </c>
      <c r="AP16" s="159">
        <v>0.1215</v>
      </c>
      <c r="AQ16" s="82"/>
      <c r="AR16" s="83"/>
    </row>
    <row r="17" spans="2:44" s="78" customFormat="1" x14ac:dyDescent="0.2">
      <c r="B17" s="91" t="s">
        <v>19</v>
      </c>
      <c r="C17" s="79">
        <f t="shared" ref="C17:N17" si="21">C7*AE17</f>
        <v>255.20000000000002</v>
      </c>
      <c r="D17" s="79">
        <f t="shared" si="21"/>
        <v>262.22290652892565</v>
      </c>
      <c r="E17" s="79">
        <f t="shared" si="21"/>
        <v>271.18852396694211</v>
      </c>
      <c r="F17" s="79">
        <f t="shared" si="21"/>
        <v>282.1283195867768</v>
      </c>
      <c r="G17" s="79">
        <f t="shared" si="21"/>
        <v>296.97150280991735</v>
      </c>
      <c r="H17" s="79">
        <f t="shared" si="21"/>
        <v>314.82722727272721</v>
      </c>
      <c r="I17" s="79">
        <f t="shared" si="21"/>
        <v>335.74325619834713</v>
      </c>
      <c r="J17" s="79">
        <f t="shared" si="21"/>
        <v>362.66116694214872</v>
      </c>
      <c r="K17" s="79">
        <f t="shared" si="21"/>
        <v>396.64644231404952</v>
      </c>
      <c r="L17" s="79">
        <f t="shared" si="21"/>
        <v>438.29864574380161</v>
      </c>
      <c r="M17" s="79">
        <f t="shared" si="21"/>
        <v>489.01280198347104</v>
      </c>
      <c r="N17" s="79">
        <f t="shared" si="21"/>
        <v>550.59657709999999</v>
      </c>
      <c r="O17" s="105">
        <f t="shared" si="2"/>
        <v>8.3128976948003475E-2</v>
      </c>
      <c r="P17" s="80"/>
      <c r="Q17" s="91" t="s">
        <v>19</v>
      </c>
      <c r="R17" s="81">
        <f t="shared" si="0"/>
        <v>2.7519226210523717</v>
      </c>
      <c r="S17" s="81">
        <f t="shared" si="5"/>
        <v>3.4190824732649672</v>
      </c>
      <c r="T17" s="81">
        <f t="shared" si="6"/>
        <v>4.0340186449660642</v>
      </c>
      <c r="U17" s="81">
        <f t="shared" si="7"/>
        <v>5.2611461496955725</v>
      </c>
      <c r="V17" s="81">
        <f t="shared" si="8"/>
        <v>6.0126053489512055</v>
      </c>
      <c r="W17" s="81">
        <f t="shared" si="9"/>
        <v>6.6436531258145859</v>
      </c>
      <c r="X17" s="81">
        <f t="shared" si="10"/>
        <v>8.0174092098217251</v>
      </c>
      <c r="Y17" s="81">
        <f t="shared" si="11"/>
        <v>9.3710820098149803</v>
      </c>
      <c r="Z17" s="81">
        <f t="shared" si="12"/>
        <v>10.501090892622567</v>
      </c>
      <c r="AA17" s="81">
        <f t="shared" si="13"/>
        <v>11.570685132646584</v>
      </c>
      <c r="AB17" s="81">
        <f t="shared" si="14"/>
        <v>12.593489345624654</v>
      </c>
      <c r="AC17" s="112">
        <v>0.04</v>
      </c>
      <c r="AD17" s="91" t="s">
        <v>19</v>
      </c>
      <c r="AE17" s="82">
        <v>0.08</v>
      </c>
      <c r="AF17" s="82">
        <v>8.0163636363636367E-2</v>
      </c>
      <c r="AG17" s="82">
        <v>8.0327272727272719E-2</v>
      </c>
      <c r="AH17" s="82">
        <v>8.0490909090909085E-2</v>
      </c>
      <c r="AI17" s="82">
        <v>8.0654545454545451E-2</v>
      </c>
      <c r="AJ17" s="82">
        <v>8.0818181818181817E-2</v>
      </c>
      <c r="AK17" s="82">
        <v>8.0981818181818183E-2</v>
      </c>
      <c r="AL17" s="82">
        <v>8.1145454545454548E-2</v>
      </c>
      <c r="AM17" s="82">
        <v>8.13090909090909E-2</v>
      </c>
      <c r="AN17" s="82">
        <v>8.1472727272727266E-2</v>
      </c>
      <c r="AO17" s="82">
        <v>8.1636363636363632E-2</v>
      </c>
      <c r="AP17" s="82">
        <v>8.1799999999999998E-2</v>
      </c>
      <c r="AQ17" s="82"/>
      <c r="AR17" s="83"/>
    </row>
    <row r="18" spans="2:44" s="78" customFormat="1" x14ac:dyDescent="0.2">
      <c r="B18" s="91" t="s">
        <v>8</v>
      </c>
      <c r="C18" s="79">
        <f t="shared" ref="C18:N18" si="22">C7*AE18</f>
        <v>175.45</v>
      </c>
      <c r="D18" s="79">
        <f t="shared" si="22"/>
        <v>180.29683400826448</v>
      </c>
      <c r="E18" s="79">
        <f t="shared" si="22"/>
        <v>186.4804743801653</v>
      </c>
      <c r="F18" s="79">
        <f t="shared" si="22"/>
        <v>194.022965661157</v>
      </c>
      <c r="G18" s="79">
        <f t="shared" si="22"/>
        <v>204.25159041322317</v>
      </c>
      <c r="H18" s="79">
        <f t="shared" si="22"/>
        <v>216.55438636363635</v>
      </c>
      <c r="I18" s="79">
        <f t="shared" si="22"/>
        <v>230.96482644628102</v>
      </c>
      <c r="J18" s="79">
        <f t="shared" si="22"/>
        <v>249.50730743801654</v>
      </c>
      <c r="K18" s="79">
        <f t="shared" si="22"/>
        <v>272.91616793388431</v>
      </c>
      <c r="L18" s="79">
        <f t="shared" si="22"/>
        <v>301.60541712809919</v>
      </c>
      <c r="M18" s="79">
        <f t="shared" si="22"/>
        <v>336.53664991735542</v>
      </c>
      <c r="N18" s="79">
        <f t="shared" si="22"/>
        <v>378.95583485000003</v>
      </c>
      <c r="O18" s="105">
        <f t="shared" si="2"/>
        <v>8.3221754310459417E-2</v>
      </c>
      <c r="P18" s="80"/>
      <c r="Q18" s="91" t="s">
        <v>8</v>
      </c>
      <c r="R18" s="81">
        <f t="shared" si="0"/>
        <v>2.7625158211823875</v>
      </c>
      <c r="S18" s="81">
        <f t="shared" si="5"/>
        <v>3.4296999200869926</v>
      </c>
      <c r="T18" s="81">
        <f t="shared" si="6"/>
        <v>4.0446547050364767</v>
      </c>
      <c r="U18" s="81">
        <f t="shared" si="7"/>
        <v>5.2718629040695575</v>
      </c>
      <c r="V18" s="81">
        <f t="shared" si="8"/>
        <v>6.0233538086647442</v>
      </c>
      <c r="W18" s="81">
        <f t="shared" si="9"/>
        <v>6.6544207783659326</v>
      </c>
      <c r="X18" s="81">
        <f t="shared" si="10"/>
        <v>8.0282704847477007</v>
      </c>
      <c r="Y18" s="81">
        <f t="shared" si="11"/>
        <v>9.382034031882247</v>
      </c>
      <c r="Z18" s="81">
        <f t="shared" si="12"/>
        <v>10.512110517822105</v>
      </c>
      <c r="AA18" s="81">
        <f t="shared" si="13"/>
        <v>11.581765712921555</v>
      </c>
      <c r="AB18" s="81">
        <f t="shared" si="14"/>
        <v>12.604625660551871</v>
      </c>
      <c r="AC18" s="112">
        <v>0.05</v>
      </c>
      <c r="AD18" s="91" t="s">
        <v>8</v>
      </c>
      <c r="AE18" s="84">
        <v>5.5E-2</v>
      </c>
      <c r="AF18" s="84">
        <v>5.5118181818181823E-2</v>
      </c>
      <c r="AG18" s="84">
        <v>5.5236363636363639E-2</v>
      </c>
      <c r="AH18" s="84">
        <v>5.5354545454545455E-2</v>
      </c>
      <c r="AI18" s="84">
        <v>5.5472727272727278E-2</v>
      </c>
      <c r="AJ18" s="84">
        <v>5.5590909090909094E-2</v>
      </c>
      <c r="AK18" s="84">
        <v>5.5709090909090916E-2</v>
      </c>
      <c r="AL18" s="84">
        <v>5.5827272727272732E-2</v>
      </c>
      <c r="AM18" s="84">
        <v>5.5945454545454548E-2</v>
      </c>
      <c r="AN18" s="84">
        <v>5.6063636363636371E-2</v>
      </c>
      <c r="AO18" s="84">
        <v>5.6181818181818187E-2</v>
      </c>
      <c r="AP18" s="84">
        <v>5.6300000000000003E-2</v>
      </c>
      <c r="AQ18" s="82"/>
      <c r="AR18" s="83"/>
    </row>
    <row r="19" spans="2:44" ht="13.5" customHeight="1" x14ac:dyDescent="0.2">
      <c r="B19" s="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6"/>
      <c r="P19" s="24"/>
      <c r="Q19" s="5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0"/>
      <c r="AC19" s="25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82"/>
      <c r="AR19" s="26"/>
    </row>
    <row r="20" spans="2:44" x14ac:dyDescent="0.2">
      <c r="B20" s="17" t="s">
        <v>20</v>
      </c>
      <c r="C20" s="18">
        <f t="shared" ref="C20:N20" si="23">C7</f>
        <v>3190</v>
      </c>
      <c r="D20" s="18">
        <f t="shared" si="23"/>
        <v>3271.0954545454547</v>
      </c>
      <c r="E20" s="18">
        <f t="shared" si="23"/>
        <v>3376.0454545454545</v>
      </c>
      <c r="F20" s="18">
        <f t="shared" si="23"/>
        <v>3505.0954545454542</v>
      </c>
      <c r="G20" s="18">
        <f t="shared" si="23"/>
        <v>3682.0181818181818</v>
      </c>
      <c r="H20" s="18">
        <f t="shared" si="23"/>
        <v>3895.4999999999995</v>
      </c>
      <c r="I20" s="18">
        <f t="shared" si="23"/>
        <v>4145.909090909091</v>
      </c>
      <c r="J20" s="18">
        <f t="shared" si="23"/>
        <v>4469.272727272727</v>
      </c>
      <c r="K20" s="18">
        <f t="shared" si="23"/>
        <v>4878.2545454545452</v>
      </c>
      <c r="L20" s="18">
        <f t="shared" si="23"/>
        <v>5379.6977272727272</v>
      </c>
      <c r="M20" s="18">
        <f t="shared" si="23"/>
        <v>5990.1345454545453</v>
      </c>
      <c r="N20" s="18">
        <f t="shared" si="23"/>
        <v>6731.0095000000001</v>
      </c>
      <c r="O20" s="19">
        <f>((N20/H20)^(1/7)-1)*100%</f>
        <v>8.1262146640939559E-2</v>
      </c>
      <c r="P20" s="24"/>
      <c r="Q20" s="17" t="s">
        <v>20</v>
      </c>
      <c r="R20" s="28">
        <f t="shared" ref="R20:AA27" si="24">(D20/C20-1)*100</f>
        <v>2.5421772584782065</v>
      </c>
      <c r="S20" s="28">
        <f t="shared" si="24"/>
        <v>3.2084053020881242</v>
      </c>
      <c r="T20" s="28">
        <f t="shared" si="24"/>
        <v>3.8225196235509351</v>
      </c>
      <c r="U20" s="28">
        <f t="shared" si="24"/>
        <v>5.0475865655325247</v>
      </c>
      <c r="V20" s="28">
        <f t="shared" si="24"/>
        <v>5.7979566542064154</v>
      </c>
      <c r="W20" s="28">
        <f t="shared" si="24"/>
        <v>6.428163031936629</v>
      </c>
      <c r="X20" s="28">
        <f t="shared" si="24"/>
        <v>7.7995833790154512</v>
      </c>
      <c r="Y20" s="28">
        <f t="shared" si="24"/>
        <v>9.1509702615841562</v>
      </c>
      <c r="Z20" s="28">
        <f t="shared" si="24"/>
        <v>10.279151633967443</v>
      </c>
      <c r="AA20" s="28">
        <f t="shared" si="24"/>
        <v>11.347046788282711</v>
      </c>
      <c r="AB20" s="28">
        <f t="shared" ref="AB20:AB35" si="25">(N20/M20-1)*100</f>
        <v>12.368252314259752</v>
      </c>
      <c r="AC20" s="25"/>
      <c r="AD20" s="17" t="s">
        <v>20</v>
      </c>
      <c r="AE20" s="20">
        <v>1</v>
      </c>
      <c r="AF20" s="20">
        <v>1</v>
      </c>
      <c r="AG20" s="20">
        <v>1</v>
      </c>
      <c r="AH20" s="20">
        <v>1</v>
      </c>
      <c r="AI20" s="20">
        <v>1</v>
      </c>
      <c r="AJ20" s="20">
        <v>1</v>
      </c>
      <c r="AK20" s="20">
        <v>1</v>
      </c>
      <c r="AL20" s="20">
        <v>1</v>
      </c>
      <c r="AM20" s="20">
        <v>1</v>
      </c>
      <c r="AN20" s="20">
        <v>1</v>
      </c>
      <c r="AO20" s="20">
        <v>1</v>
      </c>
      <c r="AP20" s="20">
        <v>1</v>
      </c>
      <c r="AQ20" s="33"/>
      <c r="AR20" s="26"/>
    </row>
    <row r="21" spans="2:44" x14ac:dyDescent="0.2">
      <c r="B21" s="2" t="s">
        <v>21</v>
      </c>
      <c r="C21" s="21">
        <f>C20*AE21</f>
        <v>576.75199999999995</v>
      </c>
      <c r="D21" s="21">
        <f t="shared" ref="D21:N21" si="26">D20*AF21</f>
        <v>591.562744338843</v>
      </c>
      <c r="E21" s="21">
        <f t="shared" si="26"/>
        <v>610.69593140495863</v>
      </c>
      <c r="F21" s="21">
        <f t="shared" si="26"/>
        <v>634.19922574380155</v>
      </c>
      <c r="G21" s="21">
        <f t="shared" si="26"/>
        <v>666.37834512396682</v>
      </c>
      <c r="H21" s="21">
        <f t="shared" si="26"/>
        <v>705.19174090909087</v>
      </c>
      <c r="I21" s="21">
        <f t="shared" si="26"/>
        <v>750.71106611570247</v>
      </c>
      <c r="J21" s="21">
        <f t="shared" si="26"/>
        <v>809.4665504132231</v>
      </c>
      <c r="K21" s="21">
        <f t="shared" si="26"/>
        <v>883.76233256198338</v>
      </c>
      <c r="L21" s="21">
        <f t="shared" si="26"/>
        <v>974.85013452479336</v>
      </c>
      <c r="M21" s="21">
        <f t="shared" si="26"/>
        <v>1085.7391142479339</v>
      </c>
      <c r="N21" s="21">
        <f t="shared" si="26"/>
        <v>1220.33202235</v>
      </c>
      <c r="O21" s="19">
        <f t="shared" ref="O21:O35" si="27">((N21/H21)^(1/7)-1)*100%</f>
        <v>8.1494707852867831E-2</v>
      </c>
      <c r="P21" s="24"/>
      <c r="Q21" s="2" t="s">
        <v>21</v>
      </c>
      <c r="R21" s="30">
        <f t="shared" si="24"/>
        <v>2.5679571702990289</v>
      </c>
      <c r="S21" s="30">
        <f t="shared" si="24"/>
        <v>3.2343461871487067</v>
      </c>
      <c r="T21" s="30">
        <f t="shared" si="24"/>
        <v>3.8486083057359677</v>
      </c>
      <c r="U21" s="30">
        <f t="shared" si="24"/>
        <v>5.0739764531287479</v>
      </c>
      <c r="V21" s="30">
        <f t="shared" si="24"/>
        <v>5.8245283732777375</v>
      </c>
      <c r="W21" s="30">
        <f t="shared" si="24"/>
        <v>6.4548863189932915</v>
      </c>
      <c r="X21" s="30">
        <f t="shared" si="24"/>
        <v>7.8266442243259737</v>
      </c>
      <c r="Y21" s="30">
        <f t="shared" si="24"/>
        <v>9.1783634679942097</v>
      </c>
      <c r="Z21" s="30">
        <f t="shared" si="24"/>
        <v>10.306821031707813</v>
      </c>
      <c r="AA21" s="30">
        <f t="shared" si="24"/>
        <v>11.374977116579576</v>
      </c>
      <c r="AB21" s="30">
        <f t="shared" si="25"/>
        <v>12.396431733538083</v>
      </c>
      <c r="AC21" s="25">
        <v>0.03</v>
      </c>
      <c r="AD21" s="2" t="s">
        <v>21</v>
      </c>
      <c r="AE21" s="145">
        <v>0.18079999999999999</v>
      </c>
      <c r="AF21" s="145">
        <v>0.18084545454545453</v>
      </c>
      <c r="AG21" s="145">
        <v>0.18089090909090907</v>
      </c>
      <c r="AH21" s="145">
        <v>0.18093636363636362</v>
      </c>
      <c r="AI21" s="145">
        <v>0.18098181818181816</v>
      </c>
      <c r="AJ21" s="145">
        <v>0.18102727272727273</v>
      </c>
      <c r="AK21" s="145">
        <v>0.18107272727272727</v>
      </c>
      <c r="AL21" s="145">
        <v>0.18111818181818182</v>
      </c>
      <c r="AM21" s="145">
        <v>0.18116363636363636</v>
      </c>
      <c r="AN21" s="145">
        <v>0.1812090909090909</v>
      </c>
      <c r="AO21" s="145">
        <v>0.18125454545454545</v>
      </c>
      <c r="AP21" s="145">
        <v>0.18129999999999999</v>
      </c>
      <c r="AQ21" s="61"/>
      <c r="AR21" s="23"/>
    </row>
    <row r="22" spans="2:44" ht="15" customHeight="1" x14ac:dyDescent="0.2">
      <c r="B22" s="5" t="s">
        <v>22</v>
      </c>
      <c r="C22" s="21">
        <f>C20*AE22</f>
        <v>440.22</v>
      </c>
      <c r="D22" s="21">
        <f t="shared" ref="D22:N22" si="28">D20*AF22</f>
        <v>451.70854504132234</v>
      </c>
      <c r="E22" s="21">
        <f t="shared" si="28"/>
        <v>466.50809917355383</v>
      </c>
      <c r="F22" s="21">
        <f t="shared" si="28"/>
        <v>484.6591078512397</v>
      </c>
      <c r="G22" s="21">
        <f t="shared" si="28"/>
        <v>509.4574247933885</v>
      </c>
      <c r="H22" s="21">
        <f t="shared" si="28"/>
        <v>539.34968181818181</v>
      </c>
      <c r="I22" s="21">
        <f t="shared" si="28"/>
        <v>574.39685950413229</v>
      </c>
      <c r="J22" s="21">
        <f t="shared" si="28"/>
        <v>619.60371900826442</v>
      </c>
      <c r="K22" s="21">
        <f t="shared" si="28"/>
        <v>676.74694876033072</v>
      </c>
      <c r="L22" s="21">
        <f t="shared" si="28"/>
        <v>746.7998572314051</v>
      </c>
      <c r="M22" s="21">
        <f t="shared" si="28"/>
        <v>832.08414413223147</v>
      </c>
      <c r="N22" s="21">
        <f t="shared" si="28"/>
        <v>935.61032050000006</v>
      </c>
      <c r="O22" s="19">
        <f t="shared" si="27"/>
        <v>8.1869654934735081E-2</v>
      </c>
      <c r="P22" s="24"/>
      <c r="Q22" s="5" t="s">
        <v>22</v>
      </c>
      <c r="R22" s="30">
        <f t="shared" si="24"/>
        <v>2.6097280998869543</v>
      </c>
      <c r="S22" s="30">
        <f t="shared" si="24"/>
        <v>3.2763502693706315</v>
      </c>
      <c r="T22" s="30">
        <f t="shared" si="24"/>
        <v>3.8908239127769528</v>
      </c>
      <c r="U22" s="30">
        <f t="shared" si="24"/>
        <v>5.1166513824723925</v>
      </c>
      <c r="V22" s="30">
        <f t="shared" si="24"/>
        <v>5.8674691093011599</v>
      </c>
      <c r="W22" s="30">
        <f t="shared" si="24"/>
        <v>6.4980436379983075</v>
      </c>
      <c r="X22" s="30">
        <f t="shared" si="24"/>
        <v>7.8703180137785766</v>
      </c>
      <c r="Y22" s="30">
        <f t="shared" si="24"/>
        <v>9.2225446683130929</v>
      </c>
      <c r="Z22" s="30">
        <f t="shared" si="24"/>
        <v>10.351418443688253</v>
      </c>
      <c r="AA22" s="30">
        <f t="shared" si="24"/>
        <v>11.419965613946271</v>
      </c>
      <c r="AB22" s="30">
        <f t="shared" si="25"/>
        <v>12.441791746402586</v>
      </c>
      <c r="AC22" s="25">
        <v>0.04</v>
      </c>
      <c r="AD22" s="5" t="s">
        <v>22</v>
      </c>
      <c r="AE22" s="145">
        <v>0.13800000000000001</v>
      </c>
      <c r="AF22" s="145">
        <v>0.1380909090909091</v>
      </c>
      <c r="AG22" s="145">
        <v>0.13818181818181821</v>
      </c>
      <c r="AH22" s="145">
        <v>0.1382727272727273</v>
      </c>
      <c r="AI22" s="145">
        <v>0.13836363636363638</v>
      </c>
      <c r="AJ22" s="145">
        <v>0.13845454545454547</v>
      </c>
      <c r="AK22" s="145">
        <v>0.13854545454545455</v>
      </c>
      <c r="AL22" s="145">
        <v>0.13863636363636364</v>
      </c>
      <c r="AM22" s="145">
        <v>0.13872727272727275</v>
      </c>
      <c r="AN22" s="145">
        <v>0.13881818181818184</v>
      </c>
      <c r="AO22" s="145">
        <v>0.13890909090909093</v>
      </c>
      <c r="AP22" s="145">
        <v>0.13900000000000001</v>
      </c>
      <c r="AQ22" s="70"/>
      <c r="AR22" s="23"/>
    </row>
    <row r="23" spans="2:44" s="115" customFormat="1" ht="15" customHeight="1" x14ac:dyDescent="0.2">
      <c r="B23" s="99" t="s">
        <v>23</v>
      </c>
      <c r="C23" s="130">
        <f>C20*AE23</f>
        <v>708.81799999999998</v>
      </c>
      <c r="D23" s="130">
        <f t="shared" ref="D23:N23" si="29">D20*AF23</f>
        <v>726.18319090909097</v>
      </c>
      <c r="E23" s="130">
        <f t="shared" si="29"/>
        <v>748.80688181818186</v>
      </c>
      <c r="F23" s="130">
        <f t="shared" si="29"/>
        <v>776.72915272727278</v>
      </c>
      <c r="G23" s="130">
        <f t="shared" si="29"/>
        <v>815.1988254545455</v>
      </c>
      <c r="H23" s="130">
        <f t="shared" si="29"/>
        <v>861.68459999999993</v>
      </c>
      <c r="I23" s="130">
        <f t="shared" si="29"/>
        <v>916.24590909090909</v>
      </c>
      <c r="J23" s="130">
        <f t="shared" si="29"/>
        <v>986.81541818181813</v>
      </c>
      <c r="K23" s="130">
        <f t="shared" si="29"/>
        <v>1076.1429527272728</v>
      </c>
      <c r="L23" s="130">
        <f t="shared" si="29"/>
        <v>1185.6853790909092</v>
      </c>
      <c r="M23" s="130">
        <f t="shared" si="29"/>
        <v>1319.0276269090909</v>
      </c>
      <c r="N23" s="130">
        <f t="shared" si="29"/>
        <v>1480.8220900000001</v>
      </c>
      <c r="O23" s="98">
        <f t="shared" si="27"/>
        <v>8.0422220625292029E-2</v>
      </c>
      <c r="P23" s="132"/>
      <c r="Q23" s="99" t="s">
        <v>23</v>
      </c>
      <c r="R23" s="133">
        <f t="shared" si="24"/>
        <v>2.449880069226662</v>
      </c>
      <c r="S23" s="133">
        <f t="shared" ref="S23:S27" si="30">(E23/D23-1)*100</f>
        <v>3.1154247567709348</v>
      </c>
      <c r="T23" s="133">
        <f t="shared" ref="T23:T27" si="31">(F23/E23-1)*100</f>
        <v>3.7289014814197108</v>
      </c>
      <c r="U23" s="133">
        <f t="shared" ref="U23:U27" si="32">(G23/F23-1)*100</f>
        <v>4.952778274408387</v>
      </c>
      <c r="V23" s="133">
        <f t="shared" ref="V23:V27" si="33">(H23/G23-1)*100</f>
        <v>5.702384877644362</v>
      </c>
      <c r="W23" s="133">
        <f t="shared" ref="W23:W27" si="34">(I23/H23-1)*100</f>
        <v>6.3319350364285487</v>
      </c>
      <c r="X23" s="133">
        <f t="shared" ref="X23:X27" si="35">(J23/I23-1)*100</f>
        <v>7.7020271949620467</v>
      </c>
      <c r="Y23" s="133">
        <f t="shared" ref="Y23:Y27" si="36">(K23/J23-1)*100</f>
        <v>9.0521016291008394</v>
      </c>
      <c r="Z23" s="133">
        <f t="shared" ref="Z23:Z27" si="37">(L23/K23-1)*100</f>
        <v>10.179170535477899</v>
      </c>
      <c r="AA23" s="133">
        <f t="shared" ref="AA23:AA27" si="38">(M23/L23-1)*100</f>
        <v>11.246005910979351</v>
      </c>
      <c r="AB23" s="133">
        <f t="shared" si="25"/>
        <v>12.266192139587396</v>
      </c>
      <c r="AC23" s="74">
        <v>0.01</v>
      </c>
      <c r="AD23" s="99" t="s">
        <v>23</v>
      </c>
      <c r="AE23" s="76">
        <v>0.22220000000000001</v>
      </c>
      <c r="AF23" s="76">
        <v>0.222</v>
      </c>
      <c r="AG23" s="76">
        <v>0.22180000000000002</v>
      </c>
      <c r="AH23" s="76">
        <v>0.22160000000000002</v>
      </c>
      <c r="AI23" s="76">
        <v>0.22140000000000001</v>
      </c>
      <c r="AJ23" s="76">
        <v>0.22120000000000001</v>
      </c>
      <c r="AK23" s="76">
        <v>0.221</v>
      </c>
      <c r="AL23" s="76">
        <v>0.2208</v>
      </c>
      <c r="AM23" s="76">
        <v>0.22060000000000002</v>
      </c>
      <c r="AN23" s="76">
        <v>0.22040000000000001</v>
      </c>
      <c r="AO23" s="76">
        <v>0.22020000000000001</v>
      </c>
      <c r="AP23" s="76">
        <v>0.22</v>
      </c>
      <c r="AQ23" s="136"/>
      <c r="AR23" s="154"/>
    </row>
    <row r="24" spans="2:44" ht="15" customHeight="1" x14ac:dyDescent="0.2">
      <c r="B24" s="5" t="s">
        <v>24</v>
      </c>
      <c r="C24" s="21">
        <f>C20*AE24</f>
        <v>390.77499999999998</v>
      </c>
      <c r="D24" s="21">
        <f t="shared" ref="D24:N24" si="39">D20*AF24</f>
        <v>400.85787933884296</v>
      </c>
      <c r="E24" s="21">
        <f t="shared" si="39"/>
        <v>413.87248140495871</v>
      </c>
      <c r="F24" s="21">
        <f t="shared" si="39"/>
        <v>429.85216074380162</v>
      </c>
      <c r="G24" s="21">
        <f t="shared" si="39"/>
        <v>451.71668512396695</v>
      </c>
      <c r="H24" s="21">
        <f t="shared" si="39"/>
        <v>478.08409090909083</v>
      </c>
      <c r="I24" s="21">
        <f t="shared" si="39"/>
        <v>509.00456611570246</v>
      </c>
      <c r="J24" s="21">
        <f t="shared" si="39"/>
        <v>548.90795041322303</v>
      </c>
      <c r="K24" s="21">
        <f t="shared" si="39"/>
        <v>599.36009256198349</v>
      </c>
      <c r="L24" s="21">
        <f t="shared" si="39"/>
        <v>661.21375702479338</v>
      </c>
      <c r="M24" s="21">
        <f t="shared" si="39"/>
        <v>736.51427024793384</v>
      </c>
      <c r="N24" s="21">
        <f t="shared" si="39"/>
        <v>827.91416849999996</v>
      </c>
      <c r="O24" s="19">
        <f t="shared" si="27"/>
        <v>8.1605078002064291E-2</v>
      </c>
      <c r="P24" s="24"/>
      <c r="Q24" s="5" t="s">
        <v>24</v>
      </c>
      <c r="R24" s="30">
        <f t="shared" si="24"/>
        <v>2.5802263038431361</v>
      </c>
      <c r="S24" s="30">
        <f t="shared" si="30"/>
        <v>3.246687351532529</v>
      </c>
      <c r="T24" s="30">
        <f t="shared" si="31"/>
        <v>3.8610151814387983</v>
      </c>
      <c r="U24" s="30">
        <f t="shared" si="32"/>
        <v>5.0865219200786793</v>
      </c>
      <c r="V24" s="30">
        <f t="shared" si="33"/>
        <v>5.8371556007251968</v>
      </c>
      <c r="W24" s="30">
        <f t="shared" si="34"/>
        <v>6.4675808700966009</v>
      </c>
      <c r="X24" s="30">
        <f t="shared" si="35"/>
        <v>7.8394943687892349</v>
      </c>
      <c r="Y24" s="30">
        <f t="shared" si="36"/>
        <v>9.1913666236350888</v>
      </c>
      <c r="Z24" s="30">
        <f t="shared" si="37"/>
        <v>10.319950432204195</v>
      </c>
      <c r="AA24" s="30">
        <f t="shared" si="38"/>
        <v>11.388225429846432</v>
      </c>
      <c r="AB24" s="30">
        <f t="shared" si="25"/>
        <v>12.409793257814016</v>
      </c>
      <c r="AC24" s="25">
        <v>0.05</v>
      </c>
      <c r="AD24" s="5" t="s">
        <v>24</v>
      </c>
      <c r="AE24" s="145">
        <v>0.1225</v>
      </c>
      <c r="AF24" s="145">
        <v>0.12254545454545454</v>
      </c>
      <c r="AG24" s="145">
        <v>0.1225909090909091</v>
      </c>
      <c r="AH24" s="145">
        <v>0.12263636363636364</v>
      </c>
      <c r="AI24" s="145">
        <v>0.12268181818181818</v>
      </c>
      <c r="AJ24" s="145">
        <v>0.12272727272727273</v>
      </c>
      <c r="AK24" s="145">
        <v>0.12277272727272727</v>
      </c>
      <c r="AL24" s="145">
        <v>0.12281818181818181</v>
      </c>
      <c r="AM24" s="145">
        <v>0.12286363636363637</v>
      </c>
      <c r="AN24" s="145">
        <v>0.12290909090909091</v>
      </c>
      <c r="AO24" s="145">
        <v>0.12295454545454546</v>
      </c>
      <c r="AP24" s="145">
        <v>0.123</v>
      </c>
      <c r="AQ24" s="26"/>
      <c r="AR24" s="23"/>
    </row>
    <row r="25" spans="2:44" s="115" customFormat="1" ht="15" customHeight="1" x14ac:dyDescent="0.2">
      <c r="B25" s="99" t="s">
        <v>25</v>
      </c>
      <c r="C25" s="130">
        <f>C20*AE25</f>
        <v>615.03200000000004</v>
      </c>
      <c r="D25" s="130">
        <f t="shared" ref="D25:N25" si="40">D20*AF25</f>
        <v>629.98324731404966</v>
      </c>
      <c r="E25" s="130">
        <f t="shared" si="40"/>
        <v>649.48976280991735</v>
      </c>
      <c r="F25" s="130">
        <f t="shared" si="40"/>
        <v>673.58375285123964</v>
      </c>
      <c r="G25" s="130">
        <f t="shared" si="40"/>
        <v>706.81359933884301</v>
      </c>
      <c r="H25" s="130">
        <f t="shared" si="40"/>
        <v>746.97983181818176</v>
      </c>
      <c r="I25" s="130">
        <f t="shared" si="40"/>
        <v>794.13004132231401</v>
      </c>
      <c r="J25" s="130">
        <f t="shared" si="40"/>
        <v>855.13439173553718</v>
      </c>
      <c r="K25" s="130">
        <f t="shared" si="40"/>
        <v>932.36748694214873</v>
      </c>
      <c r="L25" s="130">
        <f t="shared" si="40"/>
        <v>1027.082108822314</v>
      </c>
      <c r="M25" s="130">
        <f t="shared" si="40"/>
        <v>1142.3731135867768</v>
      </c>
      <c r="N25" s="130">
        <f t="shared" si="40"/>
        <v>1282.2573097500001</v>
      </c>
      <c r="O25" s="98">
        <f t="shared" si="27"/>
        <v>8.0248714549800093E-2</v>
      </c>
      <c r="P25" s="132"/>
      <c r="Q25" s="99" t="s">
        <v>25</v>
      </c>
      <c r="R25" s="133">
        <f t="shared" si="24"/>
        <v>2.4309706347067417</v>
      </c>
      <c r="S25" s="133">
        <f t="shared" si="30"/>
        <v>3.0963546378469875</v>
      </c>
      <c r="T25" s="133">
        <f t="shared" si="31"/>
        <v>3.7096797241396695</v>
      </c>
      <c r="U25" s="133">
        <f t="shared" si="32"/>
        <v>4.9332909748703635</v>
      </c>
      <c r="V25" s="133">
        <f t="shared" si="33"/>
        <v>5.6827192511449187</v>
      </c>
      <c r="W25" s="133">
        <f t="shared" si="34"/>
        <v>6.3121127901628382</v>
      </c>
      <c r="X25" s="133">
        <f t="shared" si="35"/>
        <v>7.6819094151940437</v>
      </c>
      <c r="Y25" s="133">
        <f t="shared" si="36"/>
        <v>9.0316909193493231</v>
      </c>
      <c r="Z25" s="133">
        <f t="shared" si="37"/>
        <v>10.158507584900601</v>
      </c>
      <c r="AA25" s="133">
        <f t="shared" si="38"/>
        <v>11.225101067787001</v>
      </c>
      <c r="AB25" s="133">
        <f t="shared" si="25"/>
        <v>12.24505325795182</v>
      </c>
      <c r="AC25" s="74">
        <v>0.02</v>
      </c>
      <c r="AD25" s="99" t="s">
        <v>25</v>
      </c>
      <c r="AE25" s="76">
        <v>0.1928</v>
      </c>
      <c r="AF25" s="76">
        <v>0.19259090909090909</v>
      </c>
      <c r="AG25" s="76">
        <v>0.19238181818181818</v>
      </c>
      <c r="AH25" s="76">
        <v>0.19217272727272727</v>
      </c>
      <c r="AI25" s="76">
        <v>0.19196363636363636</v>
      </c>
      <c r="AJ25" s="76">
        <v>0.19175454545454546</v>
      </c>
      <c r="AK25" s="76">
        <v>0.19154545454545455</v>
      </c>
      <c r="AL25" s="76">
        <v>0.19133636363636364</v>
      </c>
      <c r="AM25" s="76">
        <v>0.19112727272727273</v>
      </c>
      <c r="AN25" s="76">
        <v>0.19091818181818182</v>
      </c>
      <c r="AO25" s="76">
        <v>0.19070909090909091</v>
      </c>
      <c r="AP25" s="76">
        <v>0.1905</v>
      </c>
      <c r="AQ25" s="136"/>
      <c r="AR25" s="154"/>
    </row>
    <row r="26" spans="2:44" ht="15" customHeight="1" x14ac:dyDescent="0.2">
      <c r="B26" s="5" t="s">
        <v>26</v>
      </c>
      <c r="C26" s="21">
        <f>C20*AE26</f>
        <v>271.46900000000005</v>
      </c>
      <c r="D26" s="21">
        <f t="shared" ref="D26:N26" si="41">D20*AF26</f>
        <v>278.69733272727279</v>
      </c>
      <c r="E26" s="21">
        <f t="shared" si="41"/>
        <v>287.97667727272727</v>
      </c>
      <c r="F26" s="21">
        <f t="shared" si="41"/>
        <v>299.33515181818183</v>
      </c>
      <c r="G26" s="21">
        <f t="shared" si="41"/>
        <v>314.81255454545459</v>
      </c>
      <c r="H26" s="21">
        <f t="shared" si="41"/>
        <v>333.45479999999998</v>
      </c>
      <c r="I26" s="21">
        <f t="shared" si="41"/>
        <v>355.30440909090913</v>
      </c>
      <c r="J26" s="21">
        <f t="shared" si="41"/>
        <v>383.46360000000004</v>
      </c>
      <c r="K26" s="21">
        <f t="shared" si="41"/>
        <v>419.04206545454548</v>
      </c>
      <c r="L26" s="21">
        <f t="shared" si="41"/>
        <v>462.6540045454546</v>
      </c>
      <c r="M26" s="21">
        <f t="shared" si="41"/>
        <v>515.75058436363645</v>
      </c>
      <c r="N26" s="21">
        <f t="shared" si="41"/>
        <v>580.21301890000007</v>
      </c>
      <c r="O26" s="19">
        <f t="shared" si="27"/>
        <v>8.2341613983890394E-2</v>
      </c>
      <c r="P26" s="24"/>
      <c r="Q26" s="5" t="s">
        <v>26</v>
      </c>
      <c r="R26" s="30">
        <f t="shared" si="24"/>
        <v>2.6626733539640846</v>
      </c>
      <c r="S26" s="30">
        <f t="shared" si="30"/>
        <v>3.3295419280295224</v>
      </c>
      <c r="T26" s="30">
        <f t="shared" si="31"/>
        <v>3.9442341834847738</v>
      </c>
      <c r="U26" s="30">
        <f t="shared" si="32"/>
        <v>5.1705931071783562</v>
      </c>
      <c r="V26" s="30">
        <f t="shared" si="33"/>
        <v>5.9216969543867792</v>
      </c>
      <c r="W26" s="30">
        <f t="shared" si="34"/>
        <v>6.5524949980954483</v>
      </c>
      <c r="X26" s="30">
        <f t="shared" si="35"/>
        <v>7.9253705241485006</v>
      </c>
      <c r="Y26" s="30">
        <f t="shared" si="36"/>
        <v>9.2781858446395979</v>
      </c>
      <c r="Z26" s="30">
        <f t="shared" si="37"/>
        <v>10.407532485694993</v>
      </c>
      <c r="AA26" s="30">
        <f t="shared" si="38"/>
        <v>11.476520098501663</v>
      </c>
      <c r="AB26" s="30">
        <f t="shared" si="25"/>
        <v>12.498761318109054</v>
      </c>
      <c r="AC26" s="25">
        <v>0.06</v>
      </c>
      <c r="AD26" s="5" t="s">
        <v>26</v>
      </c>
      <c r="AE26" s="145">
        <v>8.5100000000000009E-2</v>
      </c>
      <c r="AF26" s="145">
        <v>8.5200000000000012E-2</v>
      </c>
      <c r="AG26" s="145">
        <v>8.5300000000000001E-2</v>
      </c>
      <c r="AH26" s="145">
        <v>8.5400000000000004E-2</v>
      </c>
      <c r="AI26" s="145">
        <v>8.5500000000000007E-2</v>
      </c>
      <c r="AJ26" s="145">
        <v>8.5600000000000009E-2</v>
      </c>
      <c r="AK26" s="145">
        <v>8.5700000000000012E-2</v>
      </c>
      <c r="AL26" s="145">
        <v>8.5800000000000015E-2</v>
      </c>
      <c r="AM26" s="145">
        <v>8.5900000000000004E-2</v>
      </c>
      <c r="AN26" s="145">
        <v>8.6000000000000007E-2</v>
      </c>
      <c r="AO26" s="145">
        <v>8.610000000000001E-2</v>
      </c>
      <c r="AP26" s="145">
        <v>8.6200000000000013E-2</v>
      </c>
      <c r="AQ26" s="26"/>
      <c r="AR26" s="23"/>
    </row>
    <row r="27" spans="2:44" ht="15" customHeight="1" x14ac:dyDescent="0.2">
      <c r="B27" s="5" t="s">
        <v>8</v>
      </c>
      <c r="C27" s="21">
        <f t="shared" ref="C27:N27" si="42">C20*AE27</f>
        <v>186.934</v>
      </c>
      <c r="D27" s="21">
        <f t="shared" si="42"/>
        <v>192.10251487603307</v>
      </c>
      <c r="E27" s="21">
        <f t="shared" si="42"/>
        <v>198.69562066115702</v>
      </c>
      <c r="F27" s="21">
        <f t="shared" si="42"/>
        <v>206.73690280991735</v>
      </c>
      <c r="G27" s="21">
        <f t="shared" si="42"/>
        <v>217.64074743801652</v>
      </c>
      <c r="H27" s="21">
        <f t="shared" si="42"/>
        <v>230.75525454545451</v>
      </c>
      <c r="I27" s="21">
        <f t="shared" si="42"/>
        <v>246.11623966942147</v>
      </c>
      <c r="J27" s="21">
        <f t="shared" si="42"/>
        <v>265.88109752066111</v>
      </c>
      <c r="K27" s="21">
        <f t="shared" si="42"/>
        <v>290.832666446281</v>
      </c>
      <c r="L27" s="21">
        <f t="shared" si="42"/>
        <v>321.41248603305786</v>
      </c>
      <c r="M27" s="21">
        <f t="shared" si="42"/>
        <v>358.64569196694214</v>
      </c>
      <c r="N27" s="21">
        <f t="shared" si="42"/>
        <v>403.86057</v>
      </c>
      <c r="O27" s="19">
        <f t="shared" si="27"/>
        <v>8.3242506790496273E-2</v>
      </c>
      <c r="P27" s="24"/>
      <c r="Q27" s="5" t="s">
        <v>8</v>
      </c>
      <c r="R27" s="30">
        <f t="shared" si="24"/>
        <v>2.7648875410749563</v>
      </c>
      <c r="S27" s="30">
        <f t="shared" si="30"/>
        <v>3.4320767686870646</v>
      </c>
      <c r="T27" s="30">
        <f t="shared" si="31"/>
        <v>4.0470354213158144</v>
      </c>
      <c r="U27" s="30">
        <f t="shared" si="32"/>
        <v>5.2742613824125151</v>
      </c>
      <c r="V27" s="30">
        <f t="shared" si="33"/>
        <v>6.0257590831757968</v>
      </c>
      <c r="W27" s="30">
        <f t="shared" si="34"/>
        <v>6.6568300488867749</v>
      </c>
      <c r="X27" s="30">
        <f t="shared" si="35"/>
        <v>8.0307004031052287</v>
      </c>
      <c r="Y27" s="30">
        <f t="shared" si="36"/>
        <v>9.3844839510190958</v>
      </c>
      <c r="Z27" s="30">
        <f t="shared" si="37"/>
        <v>10.514575257461733</v>
      </c>
      <c r="AA27" s="30">
        <f t="shared" si="38"/>
        <v>11.584243783875525</v>
      </c>
      <c r="AB27" s="30">
        <f t="shared" si="25"/>
        <v>12.607115893427622</v>
      </c>
      <c r="AC27" s="25">
        <v>7.0000000000000007E-2</v>
      </c>
      <c r="AD27" s="5" t="s">
        <v>8</v>
      </c>
      <c r="AE27" s="145">
        <v>5.8599999999999999E-2</v>
      </c>
      <c r="AF27" s="145">
        <v>5.8727272727272725E-2</v>
      </c>
      <c r="AG27" s="145">
        <v>5.8854545454545458E-2</v>
      </c>
      <c r="AH27" s="145">
        <v>5.8981818181818184E-2</v>
      </c>
      <c r="AI27" s="145">
        <v>5.910909090909091E-2</v>
      </c>
      <c r="AJ27" s="145">
        <v>5.9236363636363636E-2</v>
      </c>
      <c r="AK27" s="145">
        <v>5.9363636363636361E-2</v>
      </c>
      <c r="AL27" s="145">
        <v>5.9490909090909087E-2</v>
      </c>
      <c r="AM27" s="145">
        <v>5.961818181818182E-2</v>
      </c>
      <c r="AN27" s="145">
        <v>5.9745454545454546E-2</v>
      </c>
      <c r="AO27" s="145">
        <v>5.9872727272727272E-2</v>
      </c>
      <c r="AP27" s="145">
        <v>0.06</v>
      </c>
      <c r="AQ27" s="26"/>
      <c r="AR27" s="23"/>
    </row>
    <row r="28" spans="2:44" x14ac:dyDescent="0.2">
      <c r="B28" s="8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6"/>
      <c r="P28" s="24"/>
      <c r="Q28" s="8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0"/>
      <c r="AC28" s="25"/>
      <c r="AD28" s="8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26"/>
      <c r="AR28" s="26"/>
    </row>
    <row r="29" spans="2:44" x14ac:dyDescent="0.2">
      <c r="B29" s="17" t="s">
        <v>1</v>
      </c>
      <c r="C29" s="18">
        <f t="shared" ref="C29:N29" si="43">C20</f>
        <v>3190</v>
      </c>
      <c r="D29" s="18">
        <f t="shared" si="43"/>
        <v>3271.0954545454547</v>
      </c>
      <c r="E29" s="18">
        <f t="shared" si="43"/>
        <v>3376.0454545454545</v>
      </c>
      <c r="F29" s="18">
        <f t="shared" si="43"/>
        <v>3505.0954545454542</v>
      </c>
      <c r="G29" s="18">
        <f t="shared" si="43"/>
        <v>3682.0181818181818</v>
      </c>
      <c r="H29" s="18">
        <f t="shared" si="43"/>
        <v>3895.4999999999995</v>
      </c>
      <c r="I29" s="18">
        <f t="shared" si="43"/>
        <v>4145.909090909091</v>
      </c>
      <c r="J29" s="18">
        <f t="shared" si="43"/>
        <v>4469.272727272727</v>
      </c>
      <c r="K29" s="18">
        <f t="shared" si="43"/>
        <v>4878.2545454545452</v>
      </c>
      <c r="L29" s="18">
        <f t="shared" si="43"/>
        <v>5379.6977272727272</v>
      </c>
      <c r="M29" s="18">
        <f t="shared" si="43"/>
        <v>5990.1345454545453</v>
      </c>
      <c r="N29" s="18">
        <f t="shared" si="43"/>
        <v>6731.0095000000001</v>
      </c>
      <c r="O29" s="19">
        <f t="shared" si="27"/>
        <v>8.1262146640939559E-2</v>
      </c>
      <c r="P29" s="24"/>
      <c r="Q29" s="17" t="s">
        <v>1</v>
      </c>
      <c r="R29" s="28">
        <f t="shared" ref="R29:AA35" si="44">(D29/C29-1)*100</f>
        <v>2.5421772584782065</v>
      </c>
      <c r="S29" s="28">
        <f t="shared" si="44"/>
        <v>3.2084053020881242</v>
      </c>
      <c r="T29" s="28">
        <f t="shared" si="44"/>
        <v>3.8225196235509351</v>
      </c>
      <c r="U29" s="28">
        <f t="shared" si="44"/>
        <v>5.0475865655325247</v>
      </c>
      <c r="V29" s="28">
        <f t="shared" si="44"/>
        <v>5.7979566542064154</v>
      </c>
      <c r="W29" s="28">
        <f t="shared" si="44"/>
        <v>6.428163031936629</v>
      </c>
      <c r="X29" s="28">
        <f t="shared" si="44"/>
        <v>7.7995833790154512</v>
      </c>
      <c r="Y29" s="28">
        <f t="shared" si="44"/>
        <v>9.1509702615841562</v>
      </c>
      <c r="Z29" s="28">
        <f t="shared" si="44"/>
        <v>10.279151633967443</v>
      </c>
      <c r="AA29" s="28">
        <f t="shared" si="44"/>
        <v>11.347046788282711</v>
      </c>
      <c r="AB29" s="28">
        <f t="shared" si="25"/>
        <v>12.368252314259752</v>
      </c>
      <c r="AC29" s="25"/>
      <c r="AD29" s="17" t="s">
        <v>1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J29" s="20">
        <v>1</v>
      </c>
      <c r="AK29" s="20">
        <v>1</v>
      </c>
      <c r="AL29" s="20">
        <v>1</v>
      </c>
      <c r="AM29" s="20">
        <v>1</v>
      </c>
      <c r="AN29" s="20">
        <v>1</v>
      </c>
      <c r="AO29" s="20">
        <v>1</v>
      </c>
      <c r="AP29" s="20">
        <v>1</v>
      </c>
      <c r="AQ29" s="26"/>
      <c r="AR29" s="26"/>
    </row>
    <row r="30" spans="2:44" s="115" customFormat="1" x14ac:dyDescent="0.2">
      <c r="B30" s="77" t="s">
        <v>63</v>
      </c>
      <c r="C30" s="130">
        <f>C29*AE30</f>
        <v>765.60000000000025</v>
      </c>
      <c r="D30" s="130">
        <f t="shared" ref="D30:N30" si="45">D29*AF30</f>
        <v>784.26000384297549</v>
      </c>
      <c r="E30" s="130">
        <f t="shared" si="45"/>
        <v>808.59357768595066</v>
      </c>
      <c r="F30" s="130">
        <f t="shared" si="45"/>
        <v>838.64188425619852</v>
      </c>
      <c r="G30" s="130">
        <f t="shared" si="45"/>
        <v>880.06929123966961</v>
      </c>
      <c r="H30" s="130">
        <f t="shared" si="45"/>
        <v>930.13915909090906</v>
      </c>
      <c r="I30" s="130">
        <f t="shared" si="45"/>
        <v>988.91238842975224</v>
      </c>
      <c r="J30" s="130">
        <f t="shared" si="45"/>
        <v>1064.9464314049587</v>
      </c>
      <c r="K30" s="130">
        <f t="shared" si="45"/>
        <v>1161.201972892562</v>
      </c>
      <c r="L30" s="130">
        <f t="shared" si="45"/>
        <v>1279.2432132024794</v>
      </c>
      <c r="M30" s="130">
        <f t="shared" si="45"/>
        <v>1422.9292333884298</v>
      </c>
      <c r="N30" s="130">
        <f t="shared" si="45"/>
        <v>1597.2685543500002</v>
      </c>
      <c r="O30" s="98">
        <f t="shared" si="27"/>
        <v>8.0306886946712286E-2</v>
      </c>
      <c r="P30" s="132"/>
      <c r="Q30" s="77" t="s">
        <v>63</v>
      </c>
      <c r="R30" s="133">
        <f t="shared" si="44"/>
        <v>2.4373045771911128</v>
      </c>
      <c r="S30" s="133">
        <f t="shared" si="44"/>
        <v>3.1027431876848865</v>
      </c>
      <c r="T30" s="133">
        <f t="shared" si="44"/>
        <v>3.7161198653396177</v>
      </c>
      <c r="U30" s="133">
        <f t="shared" si="44"/>
        <v>4.9398208891288098</v>
      </c>
      <c r="V30" s="133">
        <f t="shared" si="44"/>
        <v>5.6893097338632126</v>
      </c>
      <c r="W30" s="133">
        <f t="shared" si="44"/>
        <v>6.3187565822179215</v>
      </c>
      <c r="X30" s="133">
        <f t="shared" si="44"/>
        <v>7.6886530965536215</v>
      </c>
      <c r="Y30" s="133">
        <f t="shared" si="44"/>
        <v>9.0385336434824826</v>
      </c>
      <c r="Z30" s="133">
        <f t="shared" si="44"/>
        <v>10.165435735169815</v>
      </c>
      <c r="AA30" s="133">
        <f t="shared" si="44"/>
        <v>11.232111196919647</v>
      </c>
      <c r="AB30" s="133">
        <f t="shared" si="25"/>
        <v>12.252142753889107</v>
      </c>
      <c r="AC30" s="74">
        <v>0.01</v>
      </c>
      <c r="AD30" s="77" t="s">
        <v>63</v>
      </c>
      <c r="AE30" s="75">
        <v>0.24000000000000007</v>
      </c>
      <c r="AF30" s="75">
        <v>0.23975454545454553</v>
      </c>
      <c r="AG30" s="75">
        <v>0.23950909090909098</v>
      </c>
      <c r="AH30" s="75">
        <v>0.23926363636363643</v>
      </c>
      <c r="AI30" s="75">
        <v>0.23901818181818188</v>
      </c>
      <c r="AJ30" s="75">
        <v>0.2387727272727273</v>
      </c>
      <c r="AK30" s="75">
        <v>0.23852727272727275</v>
      </c>
      <c r="AL30" s="75">
        <v>0.23828181818181821</v>
      </c>
      <c r="AM30" s="75">
        <v>0.23803636363636366</v>
      </c>
      <c r="AN30" s="75">
        <v>0.23779090909090911</v>
      </c>
      <c r="AO30" s="75">
        <v>0.23754545454545456</v>
      </c>
      <c r="AP30" s="75">
        <v>0.23730000000000001</v>
      </c>
      <c r="AQ30" s="136"/>
      <c r="AR30" s="136"/>
    </row>
    <row r="31" spans="2:44" s="115" customFormat="1" x14ac:dyDescent="0.2">
      <c r="B31" s="77" t="s">
        <v>64</v>
      </c>
      <c r="C31" s="130">
        <f>C29*AE31</f>
        <v>689.03999999999985</v>
      </c>
      <c r="D31" s="130">
        <f t="shared" ref="D31:N31" si="46">D29*AF31</f>
        <v>704.7723842975206</v>
      </c>
      <c r="E31" s="130">
        <f t="shared" si="46"/>
        <v>725.54285950413214</v>
      </c>
      <c r="F31" s="130">
        <f t="shared" si="46"/>
        <v>751.36500743801639</v>
      </c>
      <c r="G31" s="130">
        <f t="shared" si="46"/>
        <v>787.28243305785111</v>
      </c>
      <c r="H31" s="130">
        <f t="shared" si="46"/>
        <v>830.80390909090886</v>
      </c>
      <c r="I31" s="130">
        <f t="shared" si="46"/>
        <v>881.94793388429741</v>
      </c>
      <c r="J31" s="130">
        <f t="shared" si="46"/>
        <v>948.29841322314041</v>
      </c>
      <c r="K31" s="130">
        <f t="shared" si="46"/>
        <v>1032.4160528925618</v>
      </c>
      <c r="L31" s="130">
        <f t="shared" si="46"/>
        <v>1135.6052838842975</v>
      </c>
      <c r="M31" s="130">
        <f t="shared" si="46"/>
        <v>1261.195600661157</v>
      </c>
      <c r="N31" s="130">
        <f t="shared" si="46"/>
        <v>1413.5119950000001</v>
      </c>
      <c r="O31" s="98">
        <f t="shared" si="27"/>
        <v>7.8876085813885943E-2</v>
      </c>
      <c r="P31" s="132"/>
      <c r="Q31" s="77" t="s">
        <v>64</v>
      </c>
      <c r="R31" s="133">
        <f t="shared" si="44"/>
        <v>2.2832323664113474</v>
      </c>
      <c r="S31" s="133">
        <f t="shared" si="44"/>
        <v>2.947118200057508</v>
      </c>
      <c r="T31" s="133">
        <f t="shared" si="44"/>
        <v>3.5590106904962449</v>
      </c>
      <c r="U31" s="133">
        <f t="shared" si="44"/>
        <v>4.780289907604951</v>
      </c>
      <c r="V31" s="133">
        <f t="shared" si="44"/>
        <v>5.5280639076395799</v>
      </c>
      <c r="W31" s="133">
        <f t="shared" si="44"/>
        <v>6.1559682415736283</v>
      </c>
      <c r="X31" s="133">
        <f t="shared" si="44"/>
        <v>7.5231741908641458</v>
      </c>
      <c r="Y31" s="133">
        <f t="shared" si="44"/>
        <v>8.8703765076983068</v>
      </c>
      <c r="Z31" s="133">
        <f t="shared" si="44"/>
        <v>9.9949270163541382</v>
      </c>
      <c r="AA31" s="133">
        <f t="shared" si="44"/>
        <v>11.059328321129524</v>
      </c>
      <c r="AB31" s="133">
        <f t="shared" si="25"/>
        <v>12.077142852305723</v>
      </c>
      <c r="AC31" s="74">
        <v>0.02</v>
      </c>
      <c r="AD31" s="77" t="s">
        <v>64</v>
      </c>
      <c r="AE31" s="75">
        <v>0.21599999999999997</v>
      </c>
      <c r="AF31" s="75">
        <v>0.21545454545454543</v>
      </c>
      <c r="AG31" s="75">
        <v>0.21490909090909088</v>
      </c>
      <c r="AH31" s="75">
        <v>0.21436363636363634</v>
      </c>
      <c r="AI31" s="75">
        <v>0.2138181818181818</v>
      </c>
      <c r="AJ31" s="75">
        <v>0.21327272727272725</v>
      </c>
      <c r="AK31" s="75">
        <v>0.21272727272727271</v>
      </c>
      <c r="AL31" s="75">
        <v>0.21218181818181817</v>
      </c>
      <c r="AM31" s="75">
        <v>0.21163636363636362</v>
      </c>
      <c r="AN31" s="75">
        <v>0.21109090909090908</v>
      </c>
      <c r="AO31" s="75">
        <v>0.21054545454545454</v>
      </c>
      <c r="AP31" s="75">
        <v>0.21</v>
      </c>
      <c r="AQ31" s="136"/>
      <c r="AR31" s="136"/>
    </row>
    <row r="32" spans="2:44" x14ac:dyDescent="0.2">
      <c r="B32" s="8" t="s">
        <v>65</v>
      </c>
      <c r="C32" s="21">
        <f>C29*AE32</f>
        <v>366.84999999999997</v>
      </c>
      <c r="D32" s="21">
        <f t="shared" ref="D32:N32" si="47">D29*AF32</f>
        <v>377.068094214876</v>
      </c>
      <c r="E32" s="21">
        <f t="shared" si="47"/>
        <v>390.08670661157021</v>
      </c>
      <c r="F32" s="21">
        <f t="shared" si="47"/>
        <v>405.95378264462801</v>
      </c>
      <c r="G32" s="21">
        <f t="shared" si="47"/>
        <v>427.4488380165289</v>
      </c>
      <c r="H32" s="21">
        <f t="shared" si="47"/>
        <v>453.29454545454536</v>
      </c>
      <c r="I32" s="21">
        <f t="shared" si="47"/>
        <v>483.56376033057848</v>
      </c>
      <c r="J32" s="21">
        <f t="shared" si="47"/>
        <v>522.49861157024782</v>
      </c>
      <c r="K32" s="21">
        <f t="shared" si="47"/>
        <v>571.64273719008258</v>
      </c>
      <c r="L32" s="21">
        <f t="shared" si="47"/>
        <v>631.86995123966926</v>
      </c>
      <c r="M32" s="21">
        <f t="shared" si="47"/>
        <v>705.20220330578502</v>
      </c>
      <c r="N32" s="21">
        <f t="shared" si="47"/>
        <v>794.25912099999982</v>
      </c>
      <c r="O32" s="19">
        <f t="shared" si="27"/>
        <v>8.3421346638253402E-2</v>
      </c>
      <c r="P32" s="24"/>
      <c r="Q32" s="8" t="s">
        <v>65</v>
      </c>
      <c r="R32" s="30">
        <f t="shared" si="44"/>
        <v>2.7853602875496986</v>
      </c>
      <c r="S32" s="30">
        <f t="shared" ref="S32:S35" si="48">(E32/D32-1)*100</f>
        <v>3.4525892263044256</v>
      </c>
      <c r="T32" s="30">
        <f t="shared" ref="T32:T35" si="49">(F32/E32-1)*100</f>
        <v>4.0675767115687655</v>
      </c>
      <c r="U32" s="30">
        <f t="shared" ref="U32:U35" si="50">(G32/F32-1)*100</f>
        <v>5.2949513690620398</v>
      </c>
      <c r="V32" s="30">
        <f t="shared" ref="V32:V35" si="51">(H32/G32-1)*100</f>
        <v>6.0465031459547625</v>
      </c>
      <c r="W32" s="30">
        <f t="shared" ref="W32:W35" si="52">(I32/H32-1)*100</f>
        <v>6.6776040390427394</v>
      </c>
      <c r="X32" s="30">
        <f t="shared" ref="X32:X35" si="53">(J32/I32-1)*100</f>
        <v>8.0516478763942736</v>
      </c>
      <c r="Y32" s="30">
        <f t="shared" ref="Y32:Y35" si="54">(K32/J32-1)*100</f>
        <v>9.4055992746360673</v>
      </c>
      <c r="Z32" s="30">
        <f t="shared" ref="Z32:Z35" si="55">(L32/K32-1)*100</f>
        <v>10.535813740175271</v>
      </c>
      <c r="AA32" s="30">
        <f t="shared" ref="AA32:AA35" si="56">(M32/L32-1)*100</f>
        <v>11.605592562558931</v>
      </c>
      <c r="AB32" s="30">
        <f t="shared" si="25"/>
        <v>12.628564867883508</v>
      </c>
      <c r="AC32" s="25">
        <v>0.05</v>
      </c>
      <c r="AD32" s="8" t="s">
        <v>65</v>
      </c>
      <c r="AE32" s="4">
        <v>0.11499999999999999</v>
      </c>
      <c r="AF32" s="4">
        <v>0.11527272727272726</v>
      </c>
      <c r="AG32" s="4">
        <v>0.11554545454545453</v>
      </c>
      <c r="AH32" s="4">
        <v>0.11581818181818181</v>
      </c>
      <c r="AI32" s="4">
        <v>0.11609090909090908</v>
      </c>
      <c r="AJ32" s="4">
        <v>0.11636363636363635</v>
      </c>
      <c r="AK32" s="4">
        <v>0.11663636363636362</v>
      </c>
      <c r="AL32" s="4">
        <v>0.11690909090909089</v>
      </c>
      <c r="AM32" s="4">
        <v>0.11718181818181816</v>
      </c>
      <c r="AN32" s="4">
        <v>0.11745454545454544</v>
      </c>
      <c r="AO32" s="4">
        <v>0.11772727272727271</v>
      </c>
      <c r="AP32" s="4">
        <v>0.11799999999999998</v>
      </c>
      <c r="AQ32" s="26"/>
      <c r="AR32" s="26"/>
    </row>
    <row r="33" spans="2:44" x14ac:dyDescent="0.2">
      <c r="B33" s="8" t="s">
        <v>66</v>
      </c>
      <c r="C33" s="21">
        <f>C29*AE33</f>
        <v>319.00000000000011</v>
      </c>
      <c r="D33" s="21">
        <f t="shared" ref="D33:N33" si="57">D29*AF33</f>
        <v>327.76376454545465</v>
      </c>
      <c r="E33" s="21">
        <f t="shared" si="57"/>
        <v>338.95496363636374</v>
      </c>
      <c r="F33" s="21">
        <f t="shared" si="57"/>
        <v>352.61260272727276</v>
      </c>
      <c r="G33" s="21">
        <f t="shared" si="57"/>
        <v>371.14743272727281</v>
      </c>
      <c r="H33" s="21">
        <f t="shared" si="57"/>
        <v>393.44550000000004</v>
      </c>
      <c r="I33" s="21">
        <f t="shared" si="57"/>
        <v>419.56600000000014</v>
      </c>
      <c r="J33" s="21">
        <f t="shared" si="57"/>
        <v>453.18425454545462</v>
      </c>
      <c r="K33" s="21">
        <f t="shared" si="57"/>
        <v>495.63066181818192</v>
      </c>
      <c r="L33" s="21">
        <f t="shared" si="57"/>
        <v>547.65322863636368</v>
      </c>
      <c r="M33" s="21">
        <f t="shared" si="57"/>
        <v>610.99372363636371</v>
      </c>
      <c r="N33" s="21">
        <f t="shared" si="57"/>
        <v>687.90917090000016</v>
      </c>
      <c r="O33" s="19">
        <f t="shared" si="27"/>
        <v>8.3088109720813375E-2</v>
      </c>
      <c r="P33" s="24"/>
      <c r="Q33" s="8" t="s">
        <v>66</v>
      </c>
      <c r="R33" s="30">
        <f t="shared" si="44"/>
        <v>2.7472616129951444</v>
      </c>
      <c r="S33" s="30">
        <f t="shared" si="48"/>
        <v>3.4144101030902929</v>
      </c>
      <c r="T33" s="30">
        <f t="shared" si="49"/>
        <v>4.0293373917253295</v>
      </c>
      <c r="U33" s="30">
        <f t="shared" si="50"/>
        <v>5.2564286859411391</v>
      </c>
      <c r="V33" s="30">
        <f t="shared" si="51"/>
        <v>6.0078732348695318</v>
      </c>
      <c r="W33" s="30">
        <f t="shared" si="52"/>
        <v>6.6389118696236427</v>
      </c>
      <c r="X33" s="30">
        <f t="shared" si="53"/>
        <v>8.0126260339146818</v>
      </c>
      <c r="Y33" s="30">
        <f t="shared" si="54"/>
        <v>9.3662581713703119</v>
      </c>
      <c r="Z33" s="30">
        <f t="shared" si="55"/>
        <v>10.496236578128769</v>
      </c>
      <c r="AA33" s="30">
        <f t="shared" si="56"/>
        <v>11.565803265273455</v>
      </c>
      <c r="AB33" s="30">
        <f t="shared" si="25"/>
        <v>12.588582220758315</v>
      </c>
      <c r="AC33" s="25">
        <v>0.06</v>
      </c>
      <c r="AD33" s="8" t="s">
        <v>66</v>
      </c>
      <c r="AE33" s="4">
        <v>0.10000000000000003</v>
      </c>
      <c r="AF33" s="4">
        <v>0.10020000000000003</v>
      </c>
      <c r="AG33" s="4">
        <v>0.10040000000000003</v>
      </c>
      <c r="AH33" s="4">
        <v>0.10060000000000002</v>
      </c>
      <c r="AI33" s="4">
        <v>0.10080000000000003</v>
      </c>
      <c r="AJ33" s="4">
        <v>0.10100000000000002</v>
      </c>
      <c r="AK33" s="4">
        <v>0.10120000000000003</v>
      </c>
      <c r="AL33" s="4">
        <v>0.10140000000000002</v>
      </c>
      <c r="AM33" s="4">
        <v>0.10160000000000002</v>
      </c>
      <c r="AN33" s="4">
        <v>0.10180000000000002</v>
      </c>
      <c r="AO33" s="4">
        <v>0.10200000000000002</v>
      </c>
      <c r="AP33" s="4">
        <v>0.10220000000000003</v>
      </c>
      <c r="AQ33" s="26"/>
      <c r="AR33" s="26"/>
    </row>
    <row r="34" spans="2:44" x14ac:dyDescent="0.2">
      <c r="B34" s="8" t="s">
        <v>67</v>
      </c>
      <c r="C34" s="21">
        <f>C29*AE34</f>
        <v>539.1099999999999</v>
      </c>
      <c r="D34" s="21">
        <f t="shared" ref="D34:N34" si="58">D29*AF34</f>
        <v>553.4098764462808</v>
      </c>
      <c r="E34" s="21">
        <f t="shared" si="58"/>
        <v>571.77933471074368</v>
      </c>
      <c r="F34" s="21">
        <f t="shared" si="58"/>
        <v>594.27300206611551</v>
      </c>
      <c r="G34" s="21">
        <f t="shared" si="58"/>
        <v>624.9389041322313</v>
      </c>
      <c r="H34" s="21">
        <f t="shared" si="58"/>
        <v>661.88086363636342</v>
      </c>
      <c r="I34" s="21">
        <f t="shared" si="58"/>
        <v>705.18144628099162</v>
      </c>
      <c r="J34" s="21">
        <f t="shared" si="58"/>
        <v>760.99525619834696</v>
      </c>
      <c r="K34" s="21">
        <f t="shared" si="58"/>
        <v>831.52066115702473</v>
      </c>
      <c r="L34" s="21">
        <f t="shared" si="58"/>
        <v>917.97205764462797</v>
      </c>
      <c r="M34" s="21">
        <f t="shared" si="58"/>
        <v>1023.2238919008264</v>
      </c>
      <c r="N34" s="21">
        <f t="shared" si="58"/>
        <v>1151.0026245000001</v>
      </c>
      <c r="O34" s="19">
        <f t="shared" si="27"/>
        <v>8.225118461368508E-2</v>
      </c>
      <c r="Q34" s="8" t="s">
        <v>67</v>
      </c>
      <c r="R34" s="30">
        <f t="shared" si="44"/>
        <v>2.6524969758084493</v>
      </c>
      <c r="S34" s="30">
        <f t="shared" si="48"/>
        <v>3.3193224491081086</v>
      </c>
      <c r="T34" s="30">
        <f t="shared" si="49"/>
        <v>3.9339769715096562</v>
      </c>
      <c r="U34" s="30">
        <f t="shared" si="50"/>
        <v>5.1602381328950342</v>
      </c>
      <c r="V34" s="30">
        <f t="shared" si="51"/>
        <v>5.9112913694225</v>
      </c>
      <c r="W34" s="30">
        <f t="shared" si="52"/>
        <v>6.5420508468450711</v>
      </c>
      <c r="X34" s="30">
        <f t="shared" si="53"/>
        <v>7.9148154296611262</v>
      </c>
      <c r="Y34" s="30">
        <f t="shared" si="54"/>
        <v>9.2675222853552128</v>
      </c>
      <c r="Z34" s="30">
        <f t="shared" si="55"/>
        <v>10.396782729043675</v>
      </c>
      <c r="AA34" s="30">
        <f t="shared" si="56"/>
        <v>11.465690418318196</v>
      </c>
      <c r="AB34" s="30">
        <f t="shared" si="25"/>
        <v>12.487856627526671</v>
      </c>
      <c r="AC34" s="25">
        <v>0.03</v>
      </c>
      <c r="AD34" s="8" t="s">
        <v>67</v>
      </c>
      <c r="AE34" s="4">
        <v>0.16899999999999996</v>
      </c>
      <c r="AF34" s="4">
        <v>0.16918181818181813</v>
      </c>
      <c r="AG34" s="4">
        <v>0.16936363636363633</v>
      </c>
      <c r="AH34" s="4">
        <v>0.1695454545454545</v>
      </c>
      <c r="AI34" s="4">
        <v>0.1697272727272727</v>
      </c>
      <c r="AJ34" s="4">
        <v>0.16990909090909087</v>
      </c>
      <c r="AK34" s="4">
        <v>0.17009090909090907</v>
      </c>
      <c r="AL34" s="4">
        <v>0.17027272727272724</v>
      </c>
      <c r="AM34" s="4">
        <v>0.17045454545454544</v>
      </c>
      <c r="AN34" s="4">
        <v>0.17063636363636361</v>
      </c>
      <c r="AO34" s="4">
        <v>0.17081818181818181</v>
      </c>
      <c r="AP34" s="4">
        <v>0.17100000000000001</v>
      </c>
    </row>
    <row r="35" spans="2:44" x14ac:dyDescent="0.2">
      <c r="B35" s="9" t="s">
        <v>68</v>
      </c>
      <c r="C35" s="21">
        <f>C29*AE35</f>
        <v>510.40000000000003</v>
      </c>
      <c r="D35" s="21">
        <f t="shared" ref="D35:N35" si="59">D29*AF35</f>
        <v>523.82133119834725</v>
      </c>
      <c r="E35" s="21">
        <f t="shared" si="59"/>
        <v>541.08801239669424</v>
      </c>
      <c r="F35" s="21">
        <f t="shared" si="59"/>
        <v>562.24917541322316</v>
      </c>
      <c r="G35" s="21">
        <f t="shared" si="59"/>
        <v>591.13128264462807</v>
      </c>
      <c r="H35" s="21">
        <f t="shared" si="59"/>
        <v>625.93602272727276</v>
      </c>
      <c r="I35" s="21">
        <f t="shared" si="59"/>
        <v>666.7375619834711</v>
      </c>
      <c r="J35" s="21">
        <f t="shared" si="59"/>
        <v>719.34976033057853</v>
      </c>
      <c r="K35" s="21">
        <f t="shared" si="59"/>
        <v>785.84245950413219</v>
      </c>
      <c r="L35" s="21">
        <f t="shared" si="59"/>
        <v>867.3539926652893</v>
      </c>
      <c r="M35" s="21">
        <f t="shared" si="59"/>
        <v>966.58989256198356</v>
      </c>
      <c r="N35" s="21">
        <f t="shared" si="59"/>
        <v>1087.05803425</v>
      </c>
      <c r="O35" s="19">
        <f t="shared" si="27"/>
        <v>8.204696698206515E-2</v>
      </c>
      <c r="Q35" s="9" t="s">
        <v>68</v>
      </c>
      <c r="R35" s="30">
        <f t="shared" si="44"/>
        <v>2.6295711595507809</v>
      </c>
      <c r="S35" s="30">
        <f t="shared" si="48"/>
        <v>3.296292107624943</v>
      </c>
      <c r="T35" s="30">
        <f t="shared" si="49"/>
        <v>3.9108541552782983</v>
      </c>
      <c r="U35" s="30">
        <f t="shared" si="50"/>
        <v>5.1368874325476988</v>
      </c>
      <c r="V35" s="30">
        <f t="shared" si="51"/>
        <v>5.8878190182955148</v>
      </c>
      <c r="W35" s="30">
        <f t="shared" si="52"/>
        <v>6.518483962373911</v>
      </c>
      <c r="X35" s="30">
        <f t="shared" si="53"/>
        <v>7.8909906006483066</v>
      </c>
      <c r="Y35" s="30">
        <f t="shared" si="54"/>
        <v>9.2434449610432559</v>
      </c>
      <c r="Z35" s="30">
        <f t="shared" si="55"/>
        <v>10.37250306029418</v>
      </c>
      <c r="AA35" s="30">
        <f t="shared" si="56"/>
        <v>11.441222469242639</v>
      </c>
      <c r="AB35" s="30">
        <f t="shared" si="25"/>
        <v>12.463211400722486</v>
      </c>
      <c r="AC35" s="25">
        <v>0.04</v>
      </c>
      <c r="AD35" s="9" t="s">
        <v>68</v>
      </c>
      <c r="AE35" s="33">
        <v>0.16</v>
      </c>
      <c r="AF35" s="33">
        <v>0.16013636363636366</v>
      </c>
      <c r="AG35" s="33">
        <v>0.16027272727272729</v>
      </c>
      <c r="AH35" s="33">
        <v>0.16040909090909092</v>
      </c>
      <c r="AI35" s="33">
        <v>0.16054545454545455</v>
      </c>
      <c r="AJ35" s="33">
        <v>0.1606818181818182</v>
      </c>
      <c r="AK35" s="33">
        <v>0.16081818181818183</v>
      </c>
      <c r="AL35" s="33">
        <v>0.16095454545454546</v>
      </c>
      <c r="AM35" s="33">
        <v>0.16109090909090909</v>
      </c>
      <c r="AN35" s="33">
        <v>0.16122727272727275</v>
      </c>
      <c r="AO35" s="33">
        <v>0.16136363636363638</v>
      </c>
      <c r="AP35" s="33">
        <v>0.1615</v>
      </c>
    </row>
    <row r="36" spans="2:44" x14ac:dyDescent="0.2">
      <c r="B36" s="66"/>
      <c r="C36" s="66"/>
      <c r="O36" s="6"/>
      <c r="AA36" s="4"/>
      <c r="AC36" s="25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33"/>
    </row>
    <row r="37" spans="2:44" x14ac:dyDescent="0.2">
      <c r="B37" s="66"/>
      <c r="C37" s="66"/>
      <c r="G37" s="9" t="s">
        <v>2</v>
      </c>
      <c r="AA37" s="4"/>
      <c r="AM37" s="4"/>
      <c r="AP37" s="33"/>
    </row>
    <row r="38" spans="2:44" x14ac:dyDescent="0.2">
      <c r="B38" s="66"/>
      <c r="C38" s="66"/>
      <c r="AA38" s="4"/>
      <c r="AM38" s="4"/>
      <c r="AP38" s="33"/>
    </row>
    <row r="39" spans="2:44" x14ac:dyDescent="0.2">
      <c r="B39" s="66"/>
      <c r="C39" s="66"/>
      <c r="AA39" s="4"/>
      <c r="AM39" s="4"/>
      <c r="AP39" s="4"/>
    </row>
    <row r="40" spans="2:44" x14ac:dyDescent="0.2">
      <c r="B40" s="66"/>
      <c r="C40" s="66"/>
      <c r="AA40" s="4"/>
      <c r="AK40" s="29">
        <v>2023</v>
      </c>
      <c r="AL40" s="29">
        <v>2030</v>
      </c>
      <c r="AP40" s="4"/>
    </row>
    <row r="41" spans="2:44" x14ac:dyDescent="0.2">
      <c r="AJ41" s="2" t="str">
        <f>AD8</f>
        <v>Flexible Electronics</v>
      </c>
      <c r="AK41" s="33">
        <f>AI8</f>
        <v>0.52550000000000008</v>
      </c>
      <c r="AL41" s="33">
        <f>AP8</f>
        <v>0.52200000000000013</v>
      </c>
      <c r="AP41" s="4"/>
    </row>
    <row r="42" spans="2:44" x14ac:dyDescent="0.2">
      <c r="AJ42" s="5" t="str">
        <f>AD13</f>
        <v>Flexible Circuit</v>
      </c>
      <c r="AK42" s="33">
        <f>AI13</f>
        <v>0.47449999999999992</v>
      </c>
      <c r="AL42" s="33">
        <f>AP13</f>
        <v>0.47799999999999998</v>
      </c>
      <c r="AP42" s="4"/>
    </row>
    <row r="43" spans="2:44" x14ac:dyDescent="0.2">
      <c r="AJ43" s="5"/>
      <c r="AK43" s="33"/>
      <c r="AL43" s="33"/>
    </row>
    <row r="44" spans="2:44" x14ac:dyDescent="0.2">
      <c r="AJ44" s="5"/>
      <c r="AK44" s="33"/>
      <c r="AL44" s="33"/>
    </row>
    <row r="45" spans="2:44" x14ac:dyDescent="0.2">
      <c r="AJ45" s="5"/>
      <c r="AK45" s="33"/>
      <c r="AL45" s="33"/>
    </row>
    <row r="46" spans="2:44" x14ac:dyDescent="0.2">
      <c r="AJ46" s="5"/>
      <c r="AK46" s="33"/>
      <c r="AL46" s="33"/>
    </row>
    <row r="47" spans="2:44" x14ac:dyDescent="0.2">
      <c r="B47" s="8"/>
      <c r="C47" s="8"/>
      <c r="D47" s="66"/>
      <c r="AJ47" s="5"/>
      <c r="AK47" s="33"/>
      <c r="AL47" s="33"/>
    </row>
    <row r="48" spans="2:44" x14ac:dyDescent="0.2">
      <c r="B48" s="8"/>
      <c r="C48" s="8"/>
      <c r="D48" s="66"/>
      <c r="AJ48" s="5"/>
      <c r="AK48" s="33"/>
      <c r="AL48" s="33"/>
    </row>
    <row r="49" spans="2:38" x14ac:dyDescent="0.2">
      <c r="B49" s="8"/>
      <c r="C49" s="8"/>
      <c r="AJ49" s="5"/>
      <c r="AK49" s="33"/>
      <c r="AL49" s="33"/>
    </row>
    <row r="50" spans="2:38" x14ac:dyDescent="0.2">
      <c r="B50" s="8"/>
      <c r="C50" s="8"/>
    </row>
    <row r="51" spans="2:38" x14ac:dyDescent="0.2">
      <c r="B51" s="8"/>
      <c r="C51" s="8"/>
    </row>
    <row r="53" spans="2:38" x14ac:dyDescent="0.2">
      <c r="B53" s="8"/>
      <c r="C53" s="8"/>
      <c r="D53" s="66"/>
    </row>
    <row r="54" spans="2:38" x14ac:dyDescent="0.2">
      <c r="B54" s="8"/>
      <c r="C54" s="8"/>
      <c r="D54" s="66"/>
    </row>
    <row r="55" spans="2:38" x14ac:dyDescent="0.2">
      <c r="B55" s="8"/>
      <c r="C55" s="8"/>
      <c r="D55" s="66"/>
    </row>
    <row r="56" spans="2:38" x14ac:dyDescent="0.2">
      <c r="B56" s="8"/>
      <c r="C56" s="8"/>
      <c r="D56" s="66"/>
    </row>
    <row r="57" spans="2:38" x14ac:dyDescent="0.2">
      <c r="AJ57" s="4"/>
      <c r="AK57" s="29">
        <v>2023</v>
      </c>
      <c r="AL57" s="29">
        <v>2030</v>
      </c>
    </row>
    <row r="58" spans="2:38" x14ac:dyDescent="0.2">
      <c r="AJ58" s="2" t="str">
        <f t="shared" ref="AJ58:AJ64" si="60">AD21</f>
        <v>Automotive</v>
      </c>
      <c r="AK58" s="33">
        <f t="shared" ref="AK58:AK64" si="61">AI21</f>
        <v>0.18098181818181816</v>
      </c>
      <c r="AL58" s="33">
        <f t="shared" ref="AL58:AL64" si="62">AP21</f>
        <v>0.18129999999999999</v>
      </c>
    </row>
    <row r="59" spans="2:38" x14ac:dyDescent="0.2">
      <c r="B59" s="8"/>
      <c r="C59" s="8"/>
      <c r="D59" s="66"/>
      <c r="AJ59" s="2" t="str">
        <f t="shared" si="60"/>
        <v>Military, Defense and Aerospace</v>
      </c>
      <c r="AK59" s="33">
        <f t="shared" si="61"/>
        <v>0.13836363636363638</v>
      </c>
      <c r="AL59" s="33">
        <f t="shared" si="62"/>
        <v>0.13900000000000001</v>
      </c>
    </row>
    <row r="60" spans="2:38" x14ac:dyDescent="0.2">
      <c r="B60" s="8"/>
      <c r="C60" s="8"/>
      <c r="D60" s="66"/>
      <c r="AJ60" s="2" t="str">
        <f t="shared" si="60"/>
        <v>Consumer Electronics</v>
      </c>
      <c r="AK60" s="33">
        <f t="shared" si="61"/>
        <v>0.22140000000000001</v>
      </c>
      <c r="AL60" s="33">
        <f t="shared" si="62"/>
        <v>0.22</v>
      </c>
    </row>
    <row r="61" spans="2:38" x14ac:dyDescent="0.2">
      <c r="B61" s="8"/>
      <c r="C61" s="8"/>
      <c r="AJ61" s="2" t="str">
        <f t="shared" si="60"/>
        <v>Industrial</v>
      </c>
      <c r="AK61" s="33">
        <f t="shared" si="61"/>
        <v>0.12268181818181818</v>
      </c>
      <c r="AL61" s="33">
        <f t="shared" si="62"/>
        <v>0.123</v>
      </c>
    </row>
    <row r="62" spans="2:38" x14ac:dyDescent="0.2">
      <c r="B62" s="8"/>
      <c r="C62" s="8"/>
      <c r="AJ62" s="2" t="str">
        <f t="shared" si="60"/>
        <v>Healthcare and Medical</v>
      </c>
      <c r="AK62" s="33">
        <f t="shared" si="61"/>
        <v>0.19196363636363636</v>
      </c>
      <c r="AL62" s="33">
        <f t="shared" si="62"/>
        <v>0.1905</v>
      </c>
    </row>
    <row r="63" spans="2:38" x14ac:dyDescent="0.2">
      <c r="B63" s="8"/>
      <c r="C63" s="8"/>
      <c r="AJ63" s="2" t="str">
        <f t="shared" si="60"/>
        <v>Energy and Power</v>
      </c>
      <c r="AK63" s="33">
        <f t="shared" si="61"/>
        <v>8.5500000000000007E-2</v>
      </c>
      <c r="AL63" s="33">
        <f t="shared" si="62"/>
        <v>8.6200000000000013E-2</v>
      </c>
    </row>
    <row r="64" spans="2:38" x14ac:dyDescent="0.2">
      <c r="B64" s="8"/>
      <c r="C64" s="8"/>
      <c r="AJ64" s="2" t="str">
        <f t="shared" si="60"/>
        <v>Others</v>
      </c>
      <c r="AK64" s="33">
        <f t="shared" si="61"/>
        <v>5.910909090909091E-2</v>
      </c>
      <c r="AL64" s="33">
        <f t="shared" si="62"/>
        <v>0.06</v>
      </c>
    </row>
    <row r="67" spans="5:38" x14ac:dyDescent="0.2">
      <c r="AJ67" s="4"/>
      <c r="AK67" s="4"/>
    </row>
    <row r="68" spans="5:38" x14ac:dyDescent="0.2">
      <c r="AJ68" s="4"/>
      <c r="AK68" s="4"/>
    </row>
    <row r="69" spans="5:38" x14ac:dyDescent="0.2">
      <c r="AJ69" s="4"/>
      <c r="AK69" s="4"/>
    </row>
    <row r="74" spans="5:38" x14ac:dyDescent="0.2">
      <c r="AJ74" s="8"/>
      <c r="AK74" s="4"/>
      <c r="AL74" s="4"/>
    </row>
    <row r="75" spans="5:38" x14ac:dyDescent="0.2">
      <c r="AJ75" s="8"/>
      <c r="AK75" s="4"/>
      <c r="AL75" s="4"/>
    </row>
    <row r="76" spans="5:38" x14ac:dyDescent="0.2">
      <c r="AK76" s="29">
        <v>2023</v>
      </c>
      <c r="AL76" s="29">
        <v>2030</v>
      </c>
    </row>
    <row r="77" spans="5:38" x14ac:dyDescent="0.2">
      <c r="AJ77" s="8" t="str">
        <f>AD30</f>
        <v>Saudi Arabia</v>
      </c>
      <c r="AK77" s="4">
        <f>AI30</f>
        <v>0.23901818181818188</v>
      </c>
      <c r="AL77" s="4">
        <f>AP30</f>
        <v>0.23730000000000001</v>
      </c>
    </row>
    <row r="78" spans="5:38" x14ac:dyDescent="0.2">
      <c r="E78" s="21"/>
      <c r="F78" s="21"/>
      <c r="G78" s="21"/>
      <c r="H78" s="21"/>
      <c r="I78" s="21"/>
      <c r="J78" s="21"/>
      <c r="K78" s="21"/>
      <c r="L78" s="21"/>
      <c r="M78" s="21"/>
      <c r="N78" s="21"/>
      <c r="AJ78" s="8" t="str">
        <f t="shared" ref="AJ78:AJ82" si="63">AD31</f>
        <v>UAE</v>
      </c>
      <c r="AK78" s="4">
        <f t="shared" ref="AK78:AK79" si="64">AI31</f>
        <v>0.2138181818181818</v>
      </c>
      <c r="AL78" s="4">
        <f t="shared" ref="AL78:AL79" si="65">AP31</f>
        <v>0.21</v>
      </c>
    </row>
    <row r="79" spans="5:38" x14ac:dyDescent="0.2">
      <c r="F79" s="67"/>
      <c r="G79" s="67"/>
      <c r="H79" s="67"/>
      <c r="I79" s="67"/>
      <c r="J79" s="67"/>
      <c r="K79" s="67"/>
      <c r="L79" s="67"/>
      <c r="M79" s="67"/>
      <c r="N79" s="67"/>
      <c r="AJ79" s="8" t="str">
        <f t="shared" si="63"/>
        <v>Egypt</v>
      </c>
      <c r="AK79" s="4">
        <f t="shared" si="64"/>
        <v>0.11609090909090908</v>
      </c>
      <c r="AL79" s="4">
        <f t="shared" si="65"/>
        <v>0.11799999999999998</v>
      </c>
    </row>
    <row r="80" spans="5:38" x14ac:dyDescent="0.2">
      <c r="AJ80" s="8" t="str">
        <f t="shared" si="63"/>
        <v>Kuwait</v>
      </c>
      <c r="AK80" s="4">
        <f t="shared" ref="AK80:AK81" si="66">AI33</f>
        <v>0.10080000000000003</v>
      </c>
      <c r="AL80" s="4">
        <f t="shared" ref="AL80:AL82" si="67">AP33</f>
        <v>0.10220000000000003</v>
      </c>
    </row>
    <row r="81" spans="5:38" x14ac:dyDescent="0.2">
      <c r="E81" s="48"/>
      <c r="AJ81" s="8" t="str">
        <f t="shared" si="63"/>
        <v>South Africa</v>
      </c>
      <c r="AK81" s="4">
        <f t="shared" si="66"/>
        <v>0.1697272727272727</v>
      </c>
      <c r="AL81" s="4">
        <f t="shared" si="67"/>
        <v>0.17100000000000001</v>
      </c>
    </row>
    <row r="82" spans="5:38" x14ac:dyDescent="0.2">
      <c r="E82" s="48"/>
      <c r="F82" s="67"/>
      <c r="AJ82" s="8" t="str">
        <f t="shared" si="63"/>
        <v>Rest of Middle East &amp; Africa</v>
      </c>
      <c r="AK82" s="4">
        <f>AI35</f>
        <v>0.16054545454545455</v>
      </c>
      <c r="AL82" s="4">
        <f t="shared" si="67"/>
        <v>0.1615</v>
      </c>
    </row>
    <row r="83" spans="5:38" x14ac:dyDescent="0.2">
      <c r="E83" s="48"/>
      <c r="F83" s="67"/>
    </row>
    <row r="84" spans="5:38" x14ac:dyDescent="0.2">
      <c r="E84" s="48"/>
      <c r="F84" s="67"/>
    </row>
    <row r="85" spans="5:38" x14ac:dyDescent="0.2">
      <c r="E85" s="48"/>
      <c r="F85" s="67"/>
    </row>
    <row r="86" spans="5:38" x14ac:dyDescent="0.2">
      <c r="E86" s="48"/>
      <c r="F86" s="67"/>
    </row>
    <row r="87" spans="5:38" x14ac:dyDescent="0.2">
      <c r="E87" s="48"/>
      <c r="F87" s="67"/>
    </row>
    <row r="88" spans="5:38" x14ac:dyDescent="0.2">
      <c r="E88" s="48"/>
      <c r="F88" s="67"/>
    </row>
    <row r="89" spans="5:38" x14ac:dyDescent="0.2">
      <c r="E89" s="48"/>
      <c r="F89" s="67"/>
    </row>
    <row r="90" spans="5:38" x14ac:dyDescent="0.2">
      <c r="E90" s="48"/>
      <c r="F90" s="67"/>
      <c r="AK90" s="4"/>
      <c r="AL90" s="4"/>
    </row>
    <row r="91" spans="5:38" x14ac:dyDescent="0.2">
      <c r="AK91" s="29"/>
      <c r="AL91" s="29"/>
    </row>
    <row r="92" spans="5:38" x14ac:dyDescent="0.2">
      <c r="AJ92" s="8"/>
      <c r="AK92" s="33"/>
      <c r="AL92" s="33"/>
    </row>
    <row r="93" spans="5:38" x14ac:dyDescent="0.2">
      <c r="AJ93" s="8"/>
      <c r="AK93" s="33"/>
      <c r="AL93" s="33"/>
    </row>
    <row r="94" spans="5:38" x14ac:dyDescent="0.2">
      <c r="AJ94" s="8"/>
      <c r="AK94" s="33"/>
      <c r="AL94" s="33"/>
    </row>
    <row r="95" spans="5:38" x14ac:dyDescent="0.2">
      <c r="AJ95" s="8"/>
      <c r="AK95" s="33"/>
      <c r="AL95" s="33"/>
    </row>
    <row r="96" spans="5:38" x14ac:dyDescent="0.2">
      <c r="AJ96" s="8"/>
      <c r="AK96" s="33"/>
      <c r="AL96" s="33"/>
    </row>
    <row r="97" spans="36:38" x14ac:dyDescent="0.2">
      <c r="AJ97" s="8"/>
      <c r="AK97" s="33"/>
      <c r="AL97" s="33"/>
    </row>
    <row r="98" spans="36:38" x14ac:dyDescent="0.2">
      <c r="AJ98" s="8"/>
      <c r="AK98" s="33"/>
      <c r="AL98" s="33"/>
    </row>
    <row r="99" spans="36:38" x14ac:dyDescent="0.2">
      <c r="AJ99" s="8"/>
      <c r="AK99" s="33"/>
      <c r="AL99" s="33"/>
    </row>
    <row r="100" spans="36:38" x14ac:dyDescent="0.2">
      <c r="AJ100" s="8"/>
      <c r="AK100" s="33"/>
      <c r="AL100" s="33"/>
    </row>
    <row r="101" spans="36:38" x14ac:dyDescent="0.2">
      <c r="AJ101" s="8"/>
      <c r="AK101" s="33"/>
      <c r="AL101" s="33"/>
    </row>
    <row r="107" spans="36:38" x14ac:dyDescent="0.2">
      <c r="AJ107" s="9"/>
      <c r="AK107" s="4"/>
      <c r="AL107" s="4"/>
    </row>
    <row r="108" spans="36:38" x14ac:dyDescent="0.2">
      <c r="AJ108" s="9"/>
      <c r="AK108" s="4"/>
      <c r="AL108" s="4"/>
    </row>
    <row r="109" spans="36:38" x14ac:dyDescent="0.2">
      <c r="AJ109" s="9"/>
      <c r="AK109" s="4"/>
      <c r="AL109" s="4"/>
    </row>
    <row r="110" spans="36:38" x14ac:dyDescent="0.2">
      <c r="AJ110" s="9"/>
      <c r="AK110" s="4"/>
      <c r="AL110" s="4"/>
    </row>
    <row r="111" spans="36:38" x14ac:dyDescent="0.2">
      <c r="AJ111" s="9"/>
      <c r="AK111" s="4"/>
      <c r="AL111" s="4"/>
    </row>
    <row r="112" spans="36:38" x14ac:dyDescent="0.2">
      <c r="AJ112" s="9"/>
      <c r="AK112" s="4"/>
      <c r="AL112" s="4"/>
    </row>
    <row r="113" spans="36:38" x14ac:dyDescent="0.2">
      <c r="AK113" s="29"/>
      <c r="AL113" s="29"/>
    </row>
    <row r="114" spans="36:38" x14ac:dyDescent="0.2">
      <c r="AJ114" s="8"/>
      <c r="AK114" s="33"/>
      <c r="AL114" s="33"/>
    </row>
    <row r="115" spans="36:38" x14ac:dyDescent="0.2">
      <c r="AJ115" s="8"/>
      <c r="AK115" s="33"/>
      <c r="AL115" s="33"/>
    </row>
    <row r="116" spans="36:38" x14ac:dyDescent="0.2">
      <c r="AJ116" s="8"/>
      <c r="AK116" s="33"/>
      <c r="AL116" s="33"/>
    </row>
    <row r="117" spans="36:38" x14ac:dyDescent="0.2">
      <c r="AJ117" s="8"/>
      <c r="AK117" s="33"/>
      <c r="AL117" s="33"/>
    </row>
    <row r="118" spans="36:38" x14ac:dyDescent="0.2">
      <c r="AJ118" s="8"/>
      <c r="AK118" s="33"/>
      <c r="AL118" s="33"/>
    </row>
    <row r="119" spans="36:38" x14ac:dyDescent="0.2">
      <c r="AJ119" s="9"/>
      <c r="AK119" s="33"/>
      <c r="AL119" s="33"/>
    </row>
    <row r="120" spans="36:38" x14ac:dyDescent="0.2">
      <c r="AJ120" s="9"/>
      <c r="AK120" s="33"/>
      <c r="AL120" s="33"/>
    </row>
    <row r="121" spans="36:38" x14ac:dyDescent="0.2">
      <c r="AJ121" s="9"/>
      <c r="AK121" s="33"/>
      <c r="AL121" s="33"/>
    </row>
  </sheetData>
  <mergeCells count="6">
    <mergeCell ref="AF4:AP4"/>
    <mergeCell ref="B4:B6"/>
    <mergeCell ref="D4:M4"/>
    <mergeCell ref="Q4:Q6"/>
    <mergeCell ref="S4:AB4"/>
    <mergeCell ref="AD4:AD6"/>
  </mergeCells>
  <conditionalFormatting sqref="R8:AB19 R21:AB28 R30:AB35">
    <cfRule type="containsText" dxfId="1" priority="3" operator="containsText" text="volume or kilo">
      <formula>NOT(ISERROR(SEARCH("volume or kilo",R8)))</formula>
    </cfRule>
    <cfRule type="containsText" dxfId="0" priority="4" operator="containsText" text="volume">
      <formula>NOT(ISERROR(SEARCH("volume",R8)))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</vt:lpstr>
      <vt:lpstr>North America</vt:lpstr>
      <vt:lpstr>Europe</vt:lpstr>
      <vt:lpstr>Asia-Pacific</vt:lpstr>
      <vt:lpstr>Latin America</vt:lpstr>
      <vt:lpstr>Middle East &amp; 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2024-08-12T14:13:08Z</dcterms:modified>
</cp:coreProperties>
</file>