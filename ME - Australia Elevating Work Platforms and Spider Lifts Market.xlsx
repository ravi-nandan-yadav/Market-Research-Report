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filterPrivacy="1" hidePivotFieldList="1" defaultThemeVersion="124226"/>
  <xr:revisionPtr revIDLastSave="0" documentId="13_ncr:1_{A4CE10D6-36DF-9D47-B9A8-8B606B934383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Australia" sheetId="1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28" l="1"/>
  <c r="AD41" i="128"/>
  <c r="AR56" i="128"/>
  <c r="AS56" i="128"/>
  <c r="AT56" i="128"/>
  <c r="Q57" i="128" l="1"/>
  <c r="AD57" i="128" s="1"/>
  <c r="AS42" i="128"/>
  <c r="AT42" i="128"/>
  <c r="AS43" i="128"/>
  <c r="AT43" i="128"/>
  <c r="AS44" i="128"/>
  <c r="AT44" i="128"/>
  <c r="AS45" i="128"/>
  <c r="AT45" i="128"/>
  <c r="AR33" i="128"/>
  <c r="AS33" i="128"/>
  <c r="AT33" i="128"/>
  <c r="AS34" i="128"/>
  <c r="AT34" i="128"/>
  <c r="AS20" i="128"/>
  <c r="AT20" i="128"/>
  <c r="Q46" i="128"/>
  <c r="AD46" i="128" s="1"/>
  <c r="AR45" i="128" s="1"/>
  <c r="Q35" i="128"/>
  <c r="AD35" i="128" s="1"/>
  <c r="AR34" i="128" s="1"/>
  <c r="Q34" i="128"/>
  <c r="AD34" i="128" s="1"/>
  <c r="AS11" i="128"/>
  <c r="AT11" i="128"/>
  <c r="AS12" i="128"/>
  <c r="AT12" i="128"/>
  <c r="Q13" i="128"/>
  <c r="AD13" i="128"/>
  <c r="AR12" i="128" s="1"/>
  <c r="Q12" i="128"/>
  <c r="AD12" i="128"/>
  <c r="AR11" i="128" s="1"/>
  <c r="Q4" i="128"/>
  <c r="F10" i="128" l="1"/>
  <c r="F41" i="128"/>
  <c r="F63" i="128"/>
  <c r="F19" i="128"/>
  <c r="F8" i="128"/>
  <c r="F52" i="128"/>
  <c r="F57" i="128" s="1"/>
  <c r="F12" i="128"/>
  <c r="F29" i="128"/>
  <c r="F9" i="128"/>
  <c r="F11" i="128"/>
  <c r="F13" i="128"/>
  <c r="G9" i="128"/>
  <c r="AS55" i="128"/>
  <c r="AT55" i="128"/>
  <c r="AT41" i="128"/>
  <c r="AS41" i="128"/>
  <c r="AS32" i="128"/>
  <c r="AT32" i="128"/>
  <c r="AS66" i="128"/>
  <c r="AT66" i="128"/>
  <c r="AS67" i="128"/>
  <c r="AT67" i="128"/>
  <c r="Q67" i="128"/>
  <c r="AD67" i="128" s="1"/>
  <c r="AR66" i="128" s="1"/>
  <c r="Q68" i="128"/>
  <c r="AD68" i="128" s="1"/>
  <c r="AR67" i="128" s="1"/>
  <c r="Q56" i="128"/>
  <c r="AD56" i="128" s="1"/>
  <c r="AR55" i="128" s="1"/>
  <c r="G10" i="128" l="1"/>
  <c r="G29" i="128"/>
  <c r="G31" i="128" s="1"/>
  <c r="G63" i="128"/>
  <c r="G8" i="128"/>
  <c r="G19" i="128"/>
  <c r="G20" i="128" s="1"/>
  <c r="G41" i="128"/>
  <c r="G46" i="128" s="1"/>
  <c r="G13" i="128"/>
  <c r="G11" i="128"/>
  <c r="G52" i="128"/>
  <c r="G57" i="128" s="1"/>
  <c r="U57" i="128" s="1"/>
  <c r="G12" i="128"/>
  <c r="F42" i="128"/>
  <c r="F43" i="128"/>
  <c r="F45" i="128"/>
  <c r="F44" i="128"/>
  <c r="F46" i="128"/>
  <c r="F22" i="128"/>
  <c r="F23" i="128"/>
  <c r="F20" i="128"/>
  <c r="F21" i="128"/>
  <c r="F65" i="128"/>
  <c r="F67" i="128"/>
  <c r="F66" i="128"/>
  <c r="F68" i="128"/>
  <c r="F64" i="128"/>
  <c r="G35" i="128"/>
  <c r="G30" i="128"/>
  <c r="G34" i="128"/>
  <c r="G32" i="128"/>
  <c r="F31" i="128"/>
  <c r="F33" i="128"/>
  <c r="F35" i="128"/>
  <c r="F30" i="128"/>
  <c r="F32" i="128"/>
  <c r="F34" i="128"/>
  <c r="G56" i="128"/>
  <c r="G55" i="128"/>
  <c r="G53" i="128"/>
  <c r="G54" i="128"/>
  <c r="F54" i="128"/>
  <c r="F53" i="128"/>
  <c r="F56" i="128"/>
  <c r="F55" i="128"/>
  <c r="G64" i="128"/>
  <c r="G65" i="128"/>
  <c r="G67" i="128"/>
  <c r="G66" i="128"/>
  <c r="G68" i="128"/>
  <c r="AS63" i="128"/>
  <c r="AS65" i="128"/>
  <c r="AT65" i="128"/>
  <c r="AS54" i="128"/>
  <c r="AT54" i="128"/>
  <c r="Q33" i="128"/>
  <c r="AD33" i="128" s="1"/>
  <c r="AR32" i="128" s="1"/>
  <c r="Q23" i="128"/>
  <c r="AD23" i="128" s="1"/>
  <c r="AR20" i="128" s="1"/>
  <c r="AS7" i="128"/>
  <c r="Q55" i="128"/>
  <c r="AD55" i="128" s="1"/>
  <c r="AR54" i="128" s="1"/>
  <c r="AT64" i="128"/>
  <c r="AS64" i="128"/>
  <c r="Q66" i="128"/>
  <c r="AD66" i="128" s="1"/>
  <c r="AR65" i="128" s="1"/>
  <c r="Q65" i="128"/>
  <c r="AD65" i="128" s="1"/>
  <c r="AR64" i="128" s="1"/>
  <c r="Q64" i="128"/>
  <c r="AD64" i="128" s="1"/>
  <c r="AR63" i="128" s="1"/>
  <c r="AT63" i="128"/>
  <c r="Q63" i="128"/>
  <c r="AD63" i="128" s="1"/>
  <c r="Q54" i="128"/>
  <c r="AD54" i="128" s="1"/>
  <c r="AR53" i="128" s="1"/>
  <c r="AT53" i="128"/>
  <c r="AS53" i="128"/>
  <c r="Q53" i="128"/>
  <c r="AD53" i="128" s="1"/>
  <c r="AR52" i="128" s="1"/>
  <c r="AT52" i="128"/>
  <c r="AS52" i="128"/>
  <c r="Q52" i="128"/>
  <c r="AD52" i="128" s="1"/>
  <c r="Q45" i="128"/>
  <c r="AD45" i="128" s="1"/>
  <c r="AR44" i="128" s="1"/>
  <c r="Q44" i="128"/>
  <c r="AD44" i="128" s="1"/>
  <c r="AR43" i="128" s="1"/>
  <c r="Q43" i="128"/>
  <c r="AD43" i="128" s="1"/>
  <c r="AR42" i="128" s="1"/>
  <c r="Q42" i="128"/>
  <c r="AD42" i="128" s="1"/>
  <c r="AR41" i="128" s="1"/>
  <c r="Q41" i="128"/>
  <c r="Q32" i="128"/>
  <c r="AD32" i="128" s="1"/>
  <c r="AR31" i="128" s="1"/>
  <c r="AT31" i="128"/>
  <c r="AS31" i="128"/>
  <c r="Q31" i="128"/>
  <c r="AD31" i="128" s="1"/>
  <c r="AR30" i="128" s="1"/>
  <c r="AT30" i="128"/>
  <c r="AS30" i="128"/>
  <c r="Q30" i="128"/>
  <c r="AD30" i="128" s="1"/>
  <c r="AR29" i="128" s="1"/>
  <c r="AT29" i="128"/>
  <c r="AS29" i="128"/>
  <c r="Q29" i="128"/>
  <c r="AD29" i="128" s="1"/>
  <c r="B26" i="128"/>
  <c r="B38" i="128" s="1"/>
  <c r="B49" i="128" s="1"/>
  <c r="Q22" i="128"/>
  <c r="AD22" i="128" s="1"/>
  <c r="AR19" i="128" s="1"/>
  <c r="Q21" i="128"/>
  <c r="AD21" i="128" s="1"/>
  <c r="AR18" i="128" s="1"/>
  <c r="Q20" i="128"/>
  <c r="AD20" i="128" s="1"/>
  <c r="AR17" i="128" s="1"/>
  <c r="AT19" i="128"/>
  <c r="AS19" i="128"/>
  <c r="Q19" i="128"/>
  <c r="AD19" i="128" s="1"/>
  <c r="AT18" i="128"/>
  <c r="AS18" i="128"/>
  <c r="AT17" i="128"/>
  <c r="AS17" i="128"/>
  <c r="B16" i="128"/>
  <c r="Q16" i="128" s="1"/>
  <c r="AD16" i="128" s="1"/>
  <c r="AD11" i="128"/>
  <c r="AR10" i="128" s="1"/>
  <c r="Q11" i="128"/>
  <c r="AT10" i="128"/>
  <c r="AS10" i="128"/>
  <c r="AD10" i="128"/>
  <c r="AR9" i="128" s="1"/>
  <c r="Q10" i="128"/>
  <c r="AT9" i="128"/>
  <c r="AS9" i="128"/>
  <c r="AD9" i="128"/>
  <c r="AR8" i="128" s="1"/>
  <c r="Q9" i="128"/>
  <c r="AT8" i="128"/>
  <c r="AS8" i="128"/>
  <c r="AD8" i="128"/>
  <c r="AR7" i="128" s="1"/>
  <c r="Q8" i="128"/>
  <c r="AT7" i="128"/>
  <c r="Q7" i="128"/>
  <c r="AD7" i="128" s="1"/>
  <c r="AD4" i="128"/>
  <c r="G42" i="128" l="1"/>
  <c r="G33" i="128"/>
  <c r="G45" i="128"/>
  <c r="G43" i="128"/>
  <c r="G22" i="128"/>
  <c r="G23" i="128"/>
  <c r="G44" i="128"/>
  <c r="G21" i="128"/>
  <c r="E63" i="128"/>
  <c r="E9" i="128"/>
  <c r="E11" i="128"/>
  <c r="E29" i="128"/>
  <c r="E13" i="128"/>
  <c r="E12" i="128"/>
  <c r="E41" i="128"/>
  <c r="E8" i="128"/>
  <c r="E19" i="128"/>
  <c r="E10" i="128"/>
  <c r="E52" i="128"/>
  <c r="U13" i="128"/>
  <c r="U46" i="128"/>
  <c r="Q38" i="128"/>
  <c r="Q26" i="128"/>
  <c r="D63" i="128" l="1"/>
  <c r="D11" i="128"/>
  <c r="D29" i="128"/>
  <c r="D9" i="128"/>
  <c r="D13" i="128"/>
  <c r="S13" i="128" s="1"/>
  <c r="D19" i="128"/>
  <c r="D12" i="128"/>
  <c r="S12" i="128" s="1"/>
  <c r="D52" i="128"/>
  <c r="D41" i="128"/>
  <c r="D10" i="128"/>
  <c r="D8" i="128"/>
  <c r="E44" i="128"/>
  <c r="E43" i="128"/>
  <c r="E46" i="128"/>
  <c r="T46" i="128" s="1"/>
  <c r="E42" i="128"/>
  <c r="E45" i="128"/>
  <c r="E57" i="128"/>
  <c r="E53" i="128"/>
  <c r="E54" i="128"/>
  <c r="E55" i="128"/>
  <c r="E56" i="128"/>
  <c r="E64" i="128"/>
  <c r="E65" i="128"/>
  <c r="E67" i="128"/>
  <c r="E66" i="128"/>
  <c r="E68" i="128"/>
  <c r="E22" i="128"/>
  <c r="E23" i="128"/>
  <c r="E21" i="128"/>
  <c r="E20" i="128"/>
  <c r="H52" i="128"/>
  <c r="H13" i="128"/>
  <c r="V13" i="128" s="1"/>
  <c r="H63" i="128"/>
  <c r="H9" i="128"/>
  <c r="H12" i="128"/>
  <c r="V12" i="128" s="1"/>
  <c r="H10" i="128"/>
  <c r="H11" i="128"/>
  <c r="H8" i="128"/>
  <c r="H41" i="128"/>
  <c r="H29" i="128"/>
  <c r="H19" i="128"/>
  <c r="E31" i="128"/>
  <c r="E30" i="128"/>
  <c r="E34" i="128"/>
  <c r="E33" i="128"/>
  <c r="E35" i="128"/>
  <c r="E32" i="128"/>
  <c r="C29" i="128"/>
  <c r="C10" i="128"/>
  <c r="C12" i="128"/>
  <c r="C19" i="128"/>
  <c r="C9" i="128"/>
  <c r="C11" i="128"/>
  <c r="C63" i="128"/>
  <c r="C13" i="128"/>
  <c r="C41" i="128"/>
  <c r="U34" i="128"/>
  <c r="U35" i="128"/>
  <c r="T12" i="128"/>
  <c r="T13" i="128"/>
  <c r="U12" i="128"/>
  <c r="C52" i="128"/>
  <c r="C57" i="128" s="1"/>
  <c r="C8" i="128"/>
  <c r="U11" i="128"/>
  <c r="T11" i="128"/>
  <c r="T9" i="128"/>
  <c r="T10" i="128"/>
  <c r="T8" i="128"/>
  <c r="U8" i="128"/>
  <c r="U10" i="128"/>
  <c r="U9" i="128"/>
  <c r="U52" i="128"/>
  <c r="U7" i="128"/>
  <c r="T7" i="128"/>
  <c r="V7" i="128"/>
  <c r="T29" i="128"/>
  <c r="R12" i="128" l="1"/>
  <c r="H20" i="128"/>
  <c r="H21" i="128"/>
  <c r="H23" i="128"/>
  <c r="V23" i="128" s="1"/>
  <c r="H22" i="128"/>
  <c r="V22" i="128" s="1"/>
  <c r="H65" i="128"/>
  <c r="H66" i="128"/>
  <c r="H68" i="128"/>
  <c r="H64" i="128"/>
  <c r="H67" i="128"/>
  <c r="D33" i="128"/>
  <c r="D32" i="128"/>
  <c r="D35" i="128"/>
  <c r="S35" i="128" s="1"/>
  <c r="D31" i="128"/>
  <c r="D34" i="128"/>
  <c r="S34" i="128" s="1"/>
  <c r="D30" i="128"/>
  <c r="D57" i="128"/>
  <c r="R57" i="128" s="1"/>
  <c r="D55" i="128"/>
  <c r="D53" i="128"/>
  <c r="D54" i="128"/>
  <c r="D56" i="128"/>
  <c r="D23" i="128"/>
  <c r="D22" i="128"/>
  <c r="D20" i="128"/>
  <c r="D21" i="128"/>
  <c r="H32" i="128"/>
  <c r="H31" i="128"/>
  <c r="H35" i="128"/>
  <c r="V35" i="128" s="1"/>
  <c r="H33" i="128"/>
  <c r="H30" i="128"/>
  <c r="H34" i="128"/>
  <c r="V34" i="128" s="1"/>
  <c r="I52" i="128"/>
  <c r="I29" i="128"/>
  <c r="I19" i="128"/>
  <c r="I10" i="128"/>
  <c r="W10" i="128" s="1"/>
  <c r="I13" i="128"/>
  <c r="W13" i="128" s="1"/>
  <c r="I63" i="128"/>
  <c r="I11" i="128"/>
  <c r="W11" i="128" s="1"/>
  <c r="I8" i="128"/>
  <c r="W8" i="128" s="1"/>
  <c r="I9" i="128"/>
  <c r="W9" i="128" s="1"/>
  <c r="I12" i="128"/>
  <c r="W12" i="128" s="1"/>
  <c r="I41" i="128"/>
  <c r="R13" i="128"/>
  <c r="H42" i="128"/>
  <c r="H43" i="128"/>
  <c r="H45" i="128"/>
  <c r="H44" i="128"/>
  <c r="H46" i="128"/>
  <c r="V46" i="128" s="1"/>
  <c r="H57" i="128"/>
  <c r="H56" i="128"/>
  <c r="V56" i="128" s="1"/>
  <c r="H55" i="128"/>
  <c r="V55" i="128" s="1"/>
  <c r="H53" i="128"/>
  <c r="V53" i="128" s="1"/>
  <c r="H54" i="128"/>
  <c r="V54" i="128" s="1"/>
  <c r="S57" i="128"/>
  <c r="T57" i="128"/>
  <c r="D45" i="128"/>
  <c r="D44" i="128"/>
  <c r="D46" i="128"/>
  <c r="S46" i="128" s="1"/>
  <c r="D42" i="128"/>
  <c r="D43" i="128"/>
  <c r="D67" i="128"/>
  <c r="D65" i="128"/>
  <c r="D66" i="128"/>
  <c r="D68" i="128"/>
  <c r="D64" i="128"/>
  <c r="C66" i="128"/>
  <c r="C68" i="128"/>
  <c r="C65" i="128"/>
  <c r="C67" i="128"/>
  <c r="C21" i="128"/>
  <c r="C23" i="128"/>
  <c r="C22" i="128"/>
  <c r="C54" i="128"/>
  <c r="C56" i="128"/>
  <c r="C55" i="128"/>
  <c r="C42" i="128"/>
  <c r="C44" i="128"/>
  <c r="C46" i="128"/>
  <c r="R46" i="128" s="1"/>
  <c r="C45" i="128"/>
  <c r="C43" i="128"/>
  <c r="C32" i="128"/>
  <c r="C34" i="128"/>
  <c r="C31" i="128"/>
  <c r="C33" i="128"/>
  <c r="R33" i="128" s="1"/>
  <c r="C35" i="128"/>
  <c r="T35" i="128"/>
  <c r="T34" i="128"/>
  <c r="C64" i="128"/>
  <c r="C20" i="128"/>
  <c r="C30" i="128"/>
  <c r="R56" i="128"/>
  <c r="C53" i="128"/>
  <c r="T67" i="128"/>
  <c r="U56" i="128"/>
  <c r="V64" i="128"/>
  <c r="U67" i="128"/>
  <c r="U68" i="128"/>
  <c r="U42" i="128"/>
  <c r="T45" i="128"/>
  <c r="T66" i="128"/>
  <c r="T20" i="128"/>
  <c r="T23" i="128"/>
  <c r="R52" i="128"/>
  <c r="T21" i="128"/>
  <c r="T22" i="128"/>
  <c r="U63" i="128"/>
  <c r="U33" i="128"/>
  <c r="U31" i="128"/>
  <c r="U66" i="128"/>
  <c r="U65" i="128"/>
  <c r="V63" i="128"/>
  <c r="U41" i="128"/>
  <c r="V32" i="128"/>
  <c r="T44" i="128"/>
  <c r="T42" i="128"/>
  <c r="T43" i="128"/>
  <c r="U20" i="128"/>
  <c r="U21" i="128"/>
  <c r="T64" i="128"/>
  <c r="T65" i="128"/>
  <c r="S63" i="128"/>
  <c r="T63" i="128"/>
  <c r="V52" i="128"/>
  <c r="T55" i="128"/>
  <c r="T53" i="128"/>
  <c r="T54" i="128"/>
  <c r="U45" i="128"/>
  <c r="R63" i="128"/>
  <c r="U43" i="128"/>
  <c r="T52" i="128"/>
  <c r="U44" i="128"/>
  <c r="S52" i="128"/>
  <c r="T33" i="128"/>
  <c r="U55" i="128"/>
  <c r="S33" i="128"/>
  <c r="Q49" i="128"/>
  <c r="Q60" i="128"/>
  <c r="U53" i="128"/>
  <c r="U54" i="128"/>
  <c r="V8" i="128"/>
  <c r="V9" i="128"/>
  <c r="V10" i="128"/>
  <c r="T41" i="128"/>
  <c r="U19" i="128"/>
  <c r="V19" i="128"/>
  <c r="V41" i="128"/>
  <c r="T19" i="128"/>
  <c r="V11" i="128"/>
  <c r="V29" i="128"/>
  <c r="U29" i="128"/>
  <c r="T32" i="128"/>
  <c r="S9" i="128"/>
  <c r="S7" i="128"/>
  <c r="W7" i="128"/>
  <c r="R7" i="128"/>
  <c r="T31" i="128"/>
  <c r="U32" i="128"/>
  <c r="T30" i="128"/>
  <c r="R35" i="128" l="1"/>
  <c r="I67" i="128"/>
  <c r="I64" i="128"/>
  <c r="W64" i="128" s="1"/>
  <c r="I66" i="128"/>
  <c r="I65" i="128"/>
  <c r="W65" i="128" s="1"/>
  <c r="I68" i="128"/>
  <c r="W68" i="128" s="1"/>
  <c r="I45" i="128"/>
  <c r="W45" i="128" s="1"/>
  <c r="I42" i="128"/>
  <c r="W42" i="128" s="1"/>
  <c r="I43" i="128"/>
  <c r="W43" i="128" s="1"/>
  <c r="I44" i="128"/>
  <c r="I46" i="128"/>
  <c r="W46" i="128" s="1"/>
  <c r="I23" i="128"/>
  <c r="I20" i="128"/>
  <c r="I22" i="128"/>
  <c r="W22" i="128" s="1"/>
  <c r="I21" i="128"/>
  <c r="W21" i="128" s="1"/>
  <c r="V57" i="128"/>
  <c r="I32" i="128"/>
  <c r="I31" i="128"/>
  <c r="I35" i="128"/>
  <c r="W35" i="128" s="1"/>
  <c r="I33" i="128"/>
  <c r="W33" i="128" s="1"/>
  <c r="I30" i="128"/>
  <c r="I34" i="128"/>
  <c r="W34" i="128" s="1"/>
  <c r="R34" i="128"/>
  <c r="I57" i="128"/>
  <c r="W57" i="128" s="1"/>
  <c r="I54" i="128"/>
  <c r="I53" i="128"/>
  <c r="I56" i="128"/>
  <c r="W56" i="128" s="1"/>
  <c r="I55" i="128"/>
  <c r="W55" i="128" s="1"/>
  <c r="J41" i="128"/>
  <c r="J11" i="128"/>
  <c r="X11" i="128" s="1"/>
  <c r="J8" i="128"/>
  <c r="X8" i="128" s="1"/>
  <c r="J29" i="128"/>
  <c r="J19" i="128"/>
  <c r="J63" i="128"/>
  <c r="J13" i="128"/>
  <c r="X13" i="128" s="1"/>
  <c r="J9" i="128"/>
  <c r="X9" i="128" s="1"/>
  <c r="J10" i="128"/>
  <c r="X10" i="128" s="1"/>
  <c r="J12" i="128"/>
  <c r="X12" i="128" s="1"/>
  <c r="J52" i="128"/>
  <c r="R55" i="128"/>
  <c r="U23" i="128"/>
  <c r="R66" i="128"/>
  <c r="S68" i="128"/>
  <c r="S67" i="128"/>
  <c r="S56" i="128"/>
  <c r="R67" i="128"/>
  <c r="V67" i="128"/>
  <c r="T56" i="128"/>
  <c r="V68" i="128"/>
  <c r="U64" i="128"/>
  <c r="R68" i="128"/>
  <c r="T68" i="128"/>
  <c r="R23" i="128"/>
  <c r="V42" i="128"/>
  <c r="V66" i="128"/>
  <c r="S23" i="128"/>
  <c r="S55" i="128"/>
  <c r="V33" i="128"/>
  <c r="R65" i="128"/>
  <c r="S65" i="128"/>
  <c r="S64" i="128"/>
  <c r="S66" i="128"/>
  <c r="V65" i="128"/>
  <c r="V44" i="128"/>
  <c r="V43" i="128"/>
  <c r="W31" i="128"/>
  <c r="W32" i="128"/>
  <c r="V45" i="128"/>
  <c r="W20" i="128"/>
  <c r="W44" i="128"/>
  <c r="R64" i="128"/>
  <c r="W54" i="128"/>
  <c r="W53" i="128"/>
  <c r="W52" i="128"/>
  <c r="W66" i="128"/>
  <c r="W63" i="128"/>
  <c r="V20" i="128"/>
  <c r="U22" i="128"/>
  <c r="V21" i="128"/>
  <c r="U30" i="128"/>
  <c r="V31" i="128"/>
  <c r="V30" i="128"/>
  <c r="R8" i="128"/>
  <c r="R10" i="128"/>
  <c r="R9" i="128"/>
  <c r="R11" i="128"/>
  <c r="R29" i="128"/>
  <c r="W41" i="128"/>
  <c r="W19" i="128"/>
  <c r="S19" i="128"/>
  <c r="S10" i="128"/>
  <c r="S8" i="128"/>
  <c r="W29" i="128"/>
  <c r="S41" i="128"/>
  <c r="S11" i="128"/>
  <c r="X7" i="128"/>
  <c r="S29" i="128"/>
  <c r="K10" i="128" l="1"/>
  <c r="K11" i="128"/>
  <c r="K13" i="128"/>
  <c r="Y13" i="128" s="1"/>
  <c r="K29" i="128"/>
  <c r="K9" i="128"/>
  <c r="Y9" i="128" s="1"/>
  <c r="K19" i="128"/>
  <c r="K52" i="128"/>
  <c r="K63" i="128"/>
  <c r="K41" i="128"/>
  <c r="K8" i="128"/>
  <c r="K12" i="128"/>
  <c r="Y12" i="128" s="1"/>
  <c r="J57" i="128"/>
  <c r="X57" i="128" s="1"/>
  <c r="J55" i="128"/>
  <c r="X55" i="128" s="1"/>
  <c r="J54" i="128"/>
  <c r="X54" i="128" s="1"/>
  <c r="J56" i="128"/>
  <c r="X56" i="128" s="1"/>
  <c r="J53" i="128"/>
  <c r="X53" i="128" s="1"/>
  <c r="J44" i="128"/>
  <c r="J42" i="128"/>
  <c r="X42" i="128" s="1"/>
  <c r="J46" i="128"/>
  <c r="X46" i="128" s="1"/>
  <c r="J45" i="128"/>
  <c r="X45" i="128" s="1"/>
  <c r="J43" i="128"/>
  <c r="X43" i="128" s="1"/>
  <c r="J30" i="128"/>
  <c r="J31" i="128"/>
  <c r="X31" i="128" s="1"/>
  <c r="J35" i="128"/>
  <c r="X35" i="128" s="1"/>
  <c r="J33" i="128"/>
  <c r="J34" i="128"/>
  <c r="X34" i="128" s="1"/>
  <c r="J32" i="128"/>
  <c r="X32" i="128" s="1"/>
  <c r="J67" i="128"/>
  <c r="X67" i="128" s="1"/>
  <c r="J66" i="128"/>
  <c r="X66" i="128" s="1"/>
  <c r="J64" i="128"/>
  <c r="X64" i="128" s="1"/>
  <c r="J65" i="128"/>
  <c r="X65" i="128" s="1"/>
  <c r="J68" i="128"/>
  <c r="X68" i="128" s="1"/>
  <c r="J21" i="128"/>
  <c r="X21" i="128" s="1"/>
  <c r="J23" i="128"/>
  <c r="J20" i="128"/>
  <c r="X20" i="128" s="1"/>
  <c r="J22" i="128"/>
  <c r="X22" i="128" s="1"/>
  <c r="W67" i="128"/>
  <c r="X52" i="128"/>
  <c r="X63" i="128"/>
  <c r="W23" i="128"/>
  <c r="Y11" i="128"/>
  <c r="Y10" i="128"/>
  <c r="Y8" i="128"/>
  <c r="X23" i="128"/>
  <c r="X33" i="128"/>
  <c r="X44" i="128"/>
  <c r="R53" i="128"/>
  <c r="R54" i="128"/>
  <c r="S54" i="128"/>
  <c r="S53" i="128"/>
  <c r="W30" i="128"/>
  <c r="R41" i="128"/>
  <c r="R19" i="128"/>
  <c r="S45" i="128"/>
  <c r="S32" i="128"/>
  <c r="X29" i="128"/>
  <c r="S43" i="128"/>
  <c r="S21" i="128"/>
  <c r="R31" i="128"/>
  <c r="R32" i="128"/>
  <c r="R42" i="128"/>
  <c r="R44" i="128"/>
  <c r="R45" i="128"/>
  <c r="R43" i="128"/>
  <c r="S44" i="128"/>
  <c r="S31" i="128"/>
  <c r="X41" i="128"/>
  <c r="R21" i="128"/>
  <c r="R22" i="128"/>
  <c r="R20" i="128"/>
  <c r="Y7" i="128"/>
  <c r="S42" i="128"/>
  <c r="S22" i="128"/>
  <c r="S30" i="128"/>
  <c r="X19" i="128"/>
  <c r="S20" i="128"/>
  <c r="K57" i="128" l="1"/>
  <c r="Y57" i="128" s="1"/>
  <c r="K54" i="128"/>
  <c r="Y54" i="128" s="1"/>
  <c r="K56" i="128"/>
  <c r="K53" i="128"/>
  <c r="Y53" i="128" s="1"/>
  <c r="K55" i="128"/>
  <c r="Y55" i="128" s="1"/>
  <c r="K67" i="128"/>
  <c r="Y67" i="128" s="1"/>
  <c r="K65" i="128"/>
  <c r="Y65" i="128" s="1"/>
  <c r="K66" i="128"/>
  <c r="Y66" i="128" s="1"/>
  <c r="K68" i="128"/>
  <c r="K64" i="128"/>
  <c r="K21" i="128"/>
  <c r="Y21" i="128" s="1"/>
  <c r="K23" i="128"/>
  <c r="Y23" i="128" s="1"/>
  <c r="K20" i="128"/>
  <c r="Y20" i="128" s="1"/>
  <c r="K22" i="128"/>
  <c r="Y22" i="128" s="1"/>
  <c r="K30" i="128"/>
  <c r="K31" i="128"/>
  <c r="K35" i="128"/>
  <c r="Y35" i="128" s="1"/>
  <c r="K33" i="128"/>
  <c r="K32" i="128"/>
  <c r="Y32" i="128" s="1"/>
  <c r="K34" i="128"/>
  <c r="Y34" i="128" s="1"/>
  <c r="L63" i="128"/>
  <c r="L9" i="128"/>
  <c r="Z9" i="128" s="1"/>
  <c r="L29" i="128"/>
  <c r="L11" i="128"/>
  <c r="Z11" i="128" s="1"/>
  <c r="L13" i="128"/>
  <c r="Z13" i="128" s="1"/>
  <c r="L52" i="128"/>
  <c r="L12" i="128"/>
  <c r="Z12" i="128" s="1"/>
  <c r="L10" i="128"/>
  <c r="Z10" i="128" s="1"/>
  <c r="L8" i="128"/>
  <c r="Z8" i="128" s="1"/>
  <c r="L41" i="128"/>
  <c r="L19" i="128"/>
  <c r="K44" i="128"/>
  <c r="Y44" i="128" s="1"/>
  <c r="K45" i="128"/>
  <c r="Y45" i="128" s="1"/>
  <c r="K46" i="128"/>
  <c r="Y46" i="128" s="1"/>
  <c r="K43" i="128"/>
  <c r="Y43" i="128" s="1"/>
  <c r="K42" i="128"/>
  <c r="Y42" i="128" s="1"/>
  <c r="Y68" i="128"/>
  <c r="Y56" i="128"/>
  <c r="Y63" i="128"/>
  <c r="Y64" i="128"/>
  <c r="Y52" i="128"/>
  <c r="Y31" i="128"/>
  <c r="R30" i="128"/>
  <c r="X30" i="128"/>
  <c r="Z7" i="128"/>
  <c r="Y19" i="128"/>
  <c r="Y29" i="128"/>
  <c r="Y41" i="128"/>
  <c r="N29" i="128" l="1"/>
  <c r="N52" i="128"/>
  <c r="N13" i="128"/>
  <c r="O13" i="128" s="1"/>
  <c r="N8" i="128"/>
  <c r="O8" i="128" s="1"/>
  <c r="N12" i="128"/>
  <c r="O12" i="128" s="1"/>
  <c r="N9" i="128"/>
  <c r="O9" i="128" s="1"/>
  <c r="N41" i="128"/>
  <c r="N11" i="128"/>
  <c r="O11" i="128" s="1"/>
  <c r="N63" i="128"/>
  <c r="N19" i="128"/>
  <c r="N10" i="128"/>
  <c r="O10" i="128" s="1"/>
  <c r="L57" i="128"/>
  <c r="Z57" i="128" s="1"/>
  <c r="L56" i="128"/>
  <c r="Z56" i="128" s="1"/>
  <c r="L55" i="128"/>
  <c r="Z55" i="128" s="1"/>
  <c r="L53" i="128"/>
  <c r="Z53" i="128" s="1"/>
  <c r="L54" i="128"/>
  <c r="Z54" i="128" s="1"/>
  <c r="L65" i="128"/>
  <c r="Z65" i="128" s="1"/>
  <c r="L64" i="128"/>
  <c r="L67" i="128"/>
  <c r="Z67" i="128" s="1"/>
  <c r="L66" i="128"/>
  <c r="Z66" i="128" s="1"/>
  <c r="L68" i="128"/>
  <c r="Z68" i="128" s="1"/>
  <c r="L43" i="128"/>
  <c r="Z43" i="128" s="1"/>
  <c r="L42" i="128"/>
  <c r="Z42" i="128" s="1"/>
  <c r="L44" i="128"/>
  <c r="Z44" i="128" s="1"/>
  <c r="L45" i="128"/>
  <c r="L46" i="128"/>
  <c r="Z46" i="128" s="1"/>
  <c r="M63" i="128"/>
  <c r="M11" i="128"/>
  <c r="AA11" i="128" s="1"/>
  <c r="M9" i="128"/>
  <c r="AA9" i="128" s="1"/>
  <c r="M29" i="128"/>
  <c r="M13" i="128"/>
  <c r="AA13" i="128" s="1"/>
  <c r="M41" i="128"/>
  <c r="M8" i="128"/>
  <c r="M19" i="128"/>
  <c r="M52" i="128"/>
  <c r="M12" i="128"/>
  <c r="AA12" i="128" s="1"/>
  <c r="M10" i="128"/>
  <c r="AA10" i="128" s="1"/>
  <c r="L23" i="128"/>
  <c r="Z23" i="128" s="1"/>
  <c r="L20" i="128"/>
  <c r="Z20" i="128" s="1"/>
  <c r="L21" i="128"/>
  <c r="Z21" i="128" s="1"/>
  <c r="L22" i="128"/>
  <c r="L35" i="128"/>
  <c r="Z35" i="128" s="1"/>
  <c r="L31" i="128"/>
  <c r="Z31" i="128" s="1"/>
  <c r="L32" i="128"/>
  <c r="Z32" i="128" s="1"/>
  <c r="L34" i="128"/>
  <c r="Z34" i="128" s="1"/>
  <c r="L33" i="128"/>
  <c r="Z33" i="128" s="1"/>
  <c r="L30" i="128"/>
  <c r="AA8" i="128"/>
  <c r="Y33" i="128"/>
  <c r="Z64" i="128"/>
  <c r="Z63" i="128"/>
  <c r="Z45" i="128"/>
  <c r="Z22" i="128"/>
  <c r="Z52" i="128"/>
  <c r="Y30" i="128"/>
  <c r="AA7" i="128"/>
  <c r="Z41" i="128"/>
  <c r="Z19" i="128"/>
  <c r="Z29" i="128"/>
  <c r="AB13" i="128" l="1"/>
  <c r="M30" i="128"/>
  <c r="M33" i="128"/>
  <c r="AA33" i="128" s="1"/>
  <c r="M34" i="128"/>
  <c r="AA34" i="128" s="1"/>
  <c r="M32" i="128"/>
  <c r="AA32" i="128" s="1"/>
  <c r="M35" i="128"/>
  <c r="AA35" i="128" s="1"/>
  <c r="M31" i="128"/>
  <c r="AA31" i="128" s="1"/>
  <c r="M45" i="128"/>
  <c r="AA45" i="128" s="1"/>
  <c r="M43" i="128"/>
  <c r="AA43" i="128" s="1"/>
  <c r="M44" i="128"/>
  <c r="AA44" i="128" s="1"/>
  <c r="M46" i="128"/>
  <c r="AA46" i="128" s="1"/>
  <c r="M42" i="128"/>
  <c r="AA42" i="128" s="1"/>
  <c r="N42" i="128"/>
  <c r="N43" i="128"/>
  <c r="N44" i="128"/>
  <c r="N46" i="128"/>
  <c r="N45" i="128"/>
  <c r="AB12" i="128"/>
  <c r="N22" i="128"/>
  <c r="N21" i="128"/>
  <c r="N23" i="128"/>
  <c r="N20" i="128"/>
  <c r="N57" i="128"/>
  <c r="N56" i="128"/>
  <c r="N54" i="128"/>
  <c r="N55" i="128"/>
  <c r="N53" i="128"/>
  <c r="M57" i="128"/>
  <c r="AA57" i="128" s="1"/>
  <c r="M53" i="128"/>
  <c r="AA53" i="128" s="1"/>
  <c r="M54" i="128"/>
  <c r="AA54" i="128" s="1"/>
  <c r="M55" i="128"/>
  <c r="AA55" i="128" s="1"/>
  <c r="M56" i="128"/>
  <c r="AA56" i="128" s="1"/>
  <c r="M64" i="128"/>
  <c r="AA64" i="128" s="1"/>
  <c r="M67" i="128"/>
  <c r="AA67" i="128" s="1"/>
  <c r="M65" i="128"/>
  <c r="AA65" i="128" s="1"/>
  <c r="M66" i="128"/>
  <c r="AA66" i="128" s="1"/>
  <c r="M68" i="128"/>
  <c r="AA68" i="128" s="1"/>
  <c r="M21" i="128"/>
  <c r="AA21" i="128" s="1"/>
  <c r="M20" i="128"/>
  <c r="AA20" i="128" s="1"/>
  <c r="M23" i="128"/>
  <c r="AA23" i="128" s="1"/>
  <c r="M22" i="128"/>
  <c r="AA22" i="128" s="1"/>
  <c r="O63" i="128"/>
  <c r="N66" i="128"/>
  <c r="O66" i="128" s="1"/>
  <c r="N68" i="128"/>
  <c r="O68" i="128" s="1"/>
  <c r="N64" i="128"/>
  <c r="O64" i="128" s="1"/>
  <c r="N65" i="128"/>
  <c r="O65" i="128" s="1"/>
  <c r="N67" i="128"/>
  <c r="O67" i="128" s="1"/>
  <c r="N33" i="128"/>
  <c r="N32" i="128"/>
  <c r="N30" i="128"/>
  <c r="N34" i="128"/>
  <c r="N31" i="128"/>
  <c r="N35" i="128"/>
  <c r="O35" i="128" s="1"/>
  <c r="O34" i="128"/>
  <c r="O52" i="128"/>
  <c r="AB52" i="128"/>
  <c r="AB63" i="128"/>
  <c r="AA63" i="128"/>
  <c r="AA52" i="128"/>
  <c r="Z30" i="128"/>
  <c r="AA29" i="128"/>
  <c r="AB7" i="128"/>
  <c r="O7" i="128"/>
  <c r="AA41" i="128"/>
  <c r="AA19" i="128"/>
  <c r="AB34" i="128" l="1"/>
  <c r="AB35" i="128"/>
  <c r="O46" i="128"/>
  <c r="AB46" i="128"/>
  <c r="AB57" i="128"/>
  <c r="O57" i="128"/>
  <c r="AB56" i="128"/>
  <c r="O56" i="128"/>
  <c r="AB68" i="128"/>
  <c r="AB67" i="128"/>
  <c r="AB66" i="128"/>
  <c r="AB64" i="128"/>
  <c r="AB65" i="128"/>
  <c r="AB55" i="128"/>
  <c r="O55" i="128"/>
  <c r="O23" i="128"/>
  <c r="AB23" i="128"/>
  <c r="AB33" i="128"/>
  <c r="O33" i="128"/>
  <c r="AA30" i="128"/>
  <c r="AB19" i="128"/>
  <c r="AB10" i="128"/>
  <c r="AB11" i="128"/>
  <c r="AB29" i="128"/>
  <c r="O29" i="128"/>
  <c r="AB9" i="128"/>
  <c r="AB8" i="128"/>
  <c r="O41" i="128"/>
  <c r="AB41" i="128"/>
  <c r="O19" i="128"/>
  <c r="O54" i="128" l="1"/>
  <c r="AB54" i="128"/>
  <c r="O53" i="128"/>
  <c r="AB53" i="128"/>
  <c r="O45" i="128"/>
  <c r="AB45" i="128"/>
  <c r="O44" i="128"/>
  <c r="AB44" i="128"/>
  <c r="AB43" i="128"/>
  <c r="O43" i="128"/>
  <c r="AB31" i="128"/>
  <c r="O31" i="128"/>
  <c r="AB22" i="128"/>
  <c r="O22" i="128"/>
  <c r="AB42" i="128"/>
  <c r="O42" i="128"/>
  <c r="O20" i="128"/>
  <c r="AB20" i="128"/>
  <c r="AB21" i="128"/>
  <c r="O21" i="128"/>
  <c r="AB32" i="128"/>
  <c r="O32" i="128"/>
  <c r="O30" i="128"/>
  <c r="AB30" i="128"/>
</calcChain>
</file>

<file path=xl/sharedStrings.xml><?xml version="1.0" encoding="utf-8"?>
<sst xmlns="http://schemas.openxmlformats.org/spreadsheetml/2006/main" count="69" uniqueCount="42">
  <si>
    <t>Market Share (%)</t>
  </si>
  <si>
    <t>Market Value (US$ Million)</t>
  </si>
  <si>
    <t>Market Y-o-Y Growth (%)</t>
  </si>
  <si>
    <t>CAGR (2024-2030) %</t>
  </si>
  <si>
    <t>`</t>
  </si>
  <si>
    <t>Others</t>
  </si>
  <si>
    <t>Region</t>
  </si>
  <si>
    <t>Application</t>
  </si>
  <si>
    <t>Australia Elevating Work Platforms and Spider Lifts Market</t>
  </si>
  <si>
    <t>Spider Lifts</t>
  </si>
  <si>
    <t>Truck-Mounted Elevated Platforms</t>
  </si>
  <si>
    <t>Trailer-Mounted Platforms</t>
  </si>
  <si>
    <t>Self-Propelled Aerial Work Platforms</t>
  </si>
  <si>
    <t>Vertical Mast Lifts</t>
  </si>
  <si>
    <t>Equipment Type</t>
  </si>
  <si>
    <t>Power Source</t>
  </si>
  <si>
    <t>Diesel-Powered</t>
  </si>
  <si>
    <t>Hybrid / Electric-Powered</t>
  </si>
  <si>
    <t>Emerging Battery-Swap Models</t>
  </si>
  <si>
    <t>Construction &amp; Building Maintenance</t>
  </si>
  <si>
    <t xml:space="preserve">Utility &amp; Infrastructure </t>
  </si>
  <si>
    <t>Tree Care &amp; Landscaping</t>
  </si>
  <si>
    <t>Mining &amp; Industrial Maintenance</t>
  </si>
  <si>
    <t>Facility Management &amp; Warehousing</t>
  </si>
  <si>
    <t>Customer Profile</t>
  </si>
  <si>
    <t xml:space="preserve">Rental Companies </t>
  </si>
  <si>
    <t xml:space="preserve">Contractors </t>
  </si>
  <si>
    <t>Municipalities &amp; Public Sector</t>
  </si>
  <si>
    <t>Facility Owners &amp; Property Managers</t>
  </si>
  <si>
    <t>Direct Sales</t>
  </si>
  <si>
    <t>Dealer/Distributor Channel</t>
  </si>
  <si>
    <t>Rental &amp; Leasing Companies</t>
  </si>
  <si>
    <t>Export to Regional Markets</t>
  </si>
  <si>
    <t>Distribution &amp; Sales Model</t>
  </si>
  <si>
    <t>New South Wales</t>
  </si>
  <si>
    <t>Victoria</t>
  </si>
  <si>
    <t>Queensland</t>
  </si>
  <si>
    <t>Western Australia</t>
  </si>
  <si>
    <t>South Australia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</si>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</sst>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43" fontId="2" fillId="0" borderId="1" xfId="1" applyFont="1" applyFill="1" applyBorder="1" applyAlignment="1">
      <alignment horizontal="center"/>
    </xf>
    <xf numFmtId="1" fontId="3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43" fontId="2" fillId="0" borderId="0" xfId="1" applyFont="1" applyFill="1" applyBorder="1" applyAlignment="1">
      <alignment horizontal="center"/>
    </xf>
    <xf numFmtId="10" fontId="2" fillId="0" borderId="0" xfId="2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43" fontId="2" fillId="0" borderId="0" xfId="1" applyFont="1" applyFill="1" applyAlignment="1">
      <alignment horizontal="center" vertical="center"/>
    </xf>
    <xf numFmtId="10" fontId="2" fillId="5" borderId="0" xfId="2" applyNumberFormat="1" applyFont="1" applyFill="1" applyAlignment="1">
      <alignment horizontal="right"/>
    </xf>
    <xf numFmtId="43" fontId="2" fillId="0" borderId="0" xfId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43" fontId="2" fillId="6" borderId="0" xfId="1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10" fontId="2" fillId="0" borderId="0" xfId="2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wrapText="1"/>
    </xf>
    <xf numFmtId="43" fontId="2" fillId="0" borderId="0" xfId="1" applyFont="1" applyFill="1" applyBorder="1" applyAlignment="1">
      <alignment horizontal="left"/>
    </xf>
    <xf numFmtId="0" fontId="0" fillId="6" borderId="0" xfId="0" applyFill="1"/>
    <xf numFmtId="9" fontId="2" fillId="6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43" fontId="2" fillId="6" borderId="0" xfId="1" applyFont="1" applyFill="1" applyAlignment="1"/>
    <xf numFmtId="0" fontId="0" fillId="0" borderId="0" xfId="0" applyAlignment="1">
      <alignment horizontal="left"/>
    </xf>
    <xf numFmtId="43" fontId="2" fillId="0" borderId="0" xfId="1" applyFont="1" applyFill="1" applyAlignment="1">
      <alignment vertical="center"/>
    </xf>
    <xf numFmtId="43" fontId="2" fillId="8" borderId="2" xfId="1" applyFont="1" applyFill="1" applyBorder="1" applyAlignment="1">
      <alignment horizontal="center"/>
    </xf>
    <xf numFmtId="10" fontId="2" fillId="0" borderId="0" xfId="1" applyNumberFormat="1" applyFont="1"/>
    <xf numFmtId="10" fontId="2" fillId="0" borderId="0" xfId="2" applyNumberFormat="1" applyFont="1" applyAlignment="1"/>
    <xf numFmtId="1" fontId="0" fillId="0" borderId="0" xfId="0" applyNumberFormat="1" applyAlignment="1">
      <alignment horizontal="right" vertical="center"/>
    </xf>
    <xf numFmtId="10" fontId="2" fillId="0" borderId="0" xfId="1" applyNumberFormat="1" applyFont="1" applyFill="1" applyBorder="1" applyAlignment="1">
      <alignment horizontal="center"/>
    </xf>
    <xf numFmtId="10" fontId="0" fillId="0" borderId="0" xfId="0" applyNumberFormat="1" applyAlignment="1">
      <alignment horizontal="right"/>
    </xf>
    <xf numFmtId="9" fontId="2" fillId="0" borderId="0" xfId="1" applyNumberFormat="1" applyFont="1" applyFill="1" applyAlignment="1">
      <alignment horizontal="center" vertical="center"/>
    </xf>
    <xf numFmtId="10" fontId="2" fillId="0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top"/>
    </xf>
    <xf numFmtId="9" fontId="2" fillId="0" borderId="0" xfId="1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43" fontId="2" fillId="8" borderId="0" xfId="1" applyFont="1" applyFill="1" applyBorder="1" applyAlignment="1">
      <alignment horizontal="center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43" fontId="2" fillId="0" borderId="1" xfId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7" borderId="0" xfId="0" applyFill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Australia!$Q$8</c:f>
              <c:strCache>
                <c:ptCount val="1"/>
                <c:pt idx="0">
                  <c:v>Spider Lifts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Australia!$R$8:$AB$8</c:f>
              <c:numCache>
                <c:formatCode>_(* #,##0.00_);_(* \(#,##0.00\);_(* "-"??_);_(@_)</c:formatCode>
                <c:ptCount val="11"/>
                <c:pt idx="0">
                  <c:v>3.3876974411027438</c:v>
                </c:pt>
                <c:pt idx="1">
                  <c:v>3.9364262290784158</c:v>
                </c:pt>
                <c:pt idx="2">
                  <c:v>4.5238485448881871</c:v>
                </c:pt>
                <c:pt idx="3">
                  <c:v>5.0672818614489579</c:v>
                </c:pt>
                <c:pt idx="4">
                  <c:v>5.6156438791732821</c:v>
                </c:pt>
                <c:pt idx="5">
                  <c:v>6.1739776951672987</c:v>
                </c:pt>
                <c:pt idx="6">
                  <c:v>6.7522618414050051</c:v>
                </c:pt>
                <c:pt idx="7">
                  <c:v>7.2906239999999789</c:v>
                </c:pt>
                <c:pt idx="8">
                  <c:v>7.8389577765900498</c:v>
                </c:pt>
                <c:pt idx="9">
                  <c:v>8.3872844134975857</c:v>
                </c:pt>
                <c:pt idx="10">
                  <c:v>8.9555609232420998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E-0249-B627-E7F3F9BA20D8}"/>
            </c:ext>
          </c:extLst>
        </c:ser>
        <c:ser>
          <c:idx val="1"/>
          <c:order val="1"/>
          <c:tx>
            <c:strRef>
              <c:f>Australia!$Q$9</c:f>
              <c:strCache>
                <c:ptCount val="1"/>
                <c:pt idx="0">
                  <c:v>Truck-Mounted Elevated Platforms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Australia!$R$9:$AB$9</c:f>
              <c:numCache>
                <c:formatCode>_(* #,##0.00_);_(* \(#,##0.00\);_(* "-"??_);_(@_)</c:formatCode>
                <c:ptCount val="11"/>
                <c:pt idx="0">
                  <c:v>2.8740317271525706</c:v>
                </c:pt>
                <c:pt idx="1">
                  <c:v>3.4152649134052027</c:v>
                </c:pt>
                <c:pt idx="2">
                  <c:v>3.9948720788643088</c:v>
                </c:pt>
                <c:pt idx="3">
                  <c:v>4.5305847758544182</c:v>
                </c:pt>
                <c:pt idx="4">
                  <c:v>5.0710718676651334</c:v>
                </c:pt>
                <c:pt idx="5">
                  <c:v>5.6213465435712706</c:v>
                </c:pt>
                <c:pt idx="6">
                  <c:v>6.1913303844845391</c:v>
                </c:pt>
                <c:pt idx="7">
                  <c:v>6.7214625228519065</c:v>
                </c:pt>
                <c:pt idx="8">
                  <c:v>7.2613721653044916</c:v>
                </c:pt>
                <c:pt idx="9">
                  <c:v>7.8011296682904296</c:v>
                </c:pt>
                <c:pt idx="10">
                  <c:v>8.3605796423980259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E-0249-B627-E7F3F9BA20D8}"/>
            </c:ext>
          </c:extLst>
        </c:ser>
        <c:ser>
          <c:idx val="2"/>
          <c:order val="2"/>
          <c:tx>
            <c:strRef>
              <c:f>Australia!$Q$10</c:f>
              <c:strCache>
                <c:ptCount val="1"/>
                <c:pt idx="0">
                  <c:v>Trailer-Mounted Platforms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Australia!$R$10:$AB$10</c:f>
              <c:numCache>
                <c:formatCode>_(* #,##0.00_);_(* \(#,##0.00\);_(* "-"??_);_(@_)</c:formatCode>
                <c:ptCount val="11"/>
                <c:pt idx="0">
                  <c:v>2.5509617645725013</c:v>
                </c:pt>
                <c:pt idx="1">
                  <c:v>3.0848061296100182</c:v>
                </c:pt>
                <c:pt idx="2">
                  <c:v>3.6566868765465221</c:v>
                </c:pt>
                <c:pt idx="3">
                  <c:v>4.1845931758530019</c:v>
                </c:pt>
                <c:pt idx="4">
                  <c:v>4.7170291777188345</c:v>
                </c:pt>
                <c:pt idx="5">
                  <c:v>5.2589812332439534</c:v>
                </c:pt>
                <c:pt idx="6">
                  <c:v>5.8203252032520636</c:v>
                </c:pt>
                <c:pt idx="7">
                  <c:v>6.3416986301369827</c:v>
                </c:pt>
                <c:pt idx="8">
                  <c:v>6.8725484764542877</c:v>
                </c:pt>
                <c:pt idx="9">
                  <c:v>7.4029691876750903</c:v>
                </c:pt>
                <c:pt idx="10">
                  <c:v>7.9527195467422152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E-0249-B627-E7F3F9BA20D8}"/>
            </c:ext>
          </c:extLst>
        </c:ser>
        <c:ser>
          <c:idx val="3"/>
          <c:order val="3"/>
          <c:tx>
            <c:strRef>
              <c:f>Australia!$Q$11</c:f>
              <c:strCache>
                <c:ptCount val="1"/>
                <c:pt idx="0">
                  <c:v>Self-Propelled Aerial Work Platforms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Australia!$R$11:$AB$11</c:f>
              <c:numCache>
                <c:formatCode>_(* #,##0.00_);_(* \(#,##0.00\);_(* "-"??_);_(@_)</c:formatCode>
                <c:ptCount val="11"/>
                <c:pt idx="0">
                  <c:v>4.1404311241144409</c:v>
                </c:pt>
                <c:pt idx="1">
                  <c:v>4.6908568941581574</c:v>
                </c:pt>
                <c:pt idx="2">
                  <c:v>5.2802622796588983</c:v>
                </c:pt>
                <c:pt idx="3">
                  <c:v>5.8253657364775613</c:v>
                </c:pt>
                <c:pt idx="4">
                  <c:v>6.3754397705544807</c:v>
                </c:pt>
                <c:pt idx="5">
                  <c:v>6.935563394237243</c:v>
                </c:pt>
                <c:pt idx="6">
                  <c:v>7.5157859452638531</c:v>
                </c:pt>
                <c:pt idx="7">
                  <c:v>8.0558069452619119</c:v>
                </c:pt>
                <c:pt idx="8">
                  <c:v>8.6058773231297856</c:v>
                </c:pt>
                <c:pt idx="9">
                  <c:v>9.1559470064882298</c:v>
                </c:pt>
                <c:pt idx="10">
                  <c:v>9.726114203974312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6E-0249-B627-E7F3F9BA20D8}"/>
            </c:ext>
          </c:extLst>
        </c:ser>
        <c:ser>
          <c:idx val="4"/>
          <c:order val="4"/>
          <c:tx>
            <c:strRef>
              <c:f>Australia!$Q$12</c:f>
              <c:strCache>
                <c:ptCount val="1"/>
                <c:pt idx="0">
                  <c:v>Vertical Mast Lifts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Australia!$R$12:$AB$12</c:f>
              <c:numCache>
                <c:formatCode>_(* #,##0.00_);_(* \(#,##0.00\);_(* "-"??_);_(@_)</c:formatCode>
                <c:ptCount val="11"/>
                <c:pt idx="0">
                  <c:v>3.8455641542699537</c:v>
                </c:pt>
                <c:pt idx="1">
                  <c:v>4.3966282011238755</c:v>
                </c:pt>
                <c:pt idx="2">
                  <c:v>4.9865606178744804</c:v>
                </c:pt>
                <c:pt idx="3">
                  <c:v>5.5323128925540477</c:v>
                </c:pt>
                <c:pt idx="4">
                  <c:v>6.083019373355647</c:v>
                </c:pt>
                <c:pt idx="5">
                  <c:v>6.643745525700373</c:v>
                </c:pt>
                <c:pt idx="6">
                  <c:v>7.2245140707585476</c:v>
                </c:pt>
                <c:pt idx="7">
                  <c:v>7.7651878949118514</c:v>
                </c:pt>
                <c:pt idx="8">
                  <c:v>8.3158814049391072</c:v>
                </c:pt>
                <c:pt idx="9">
                  <c:v>8.8665717663750208</c:v>
                </c:pt>
                <c:pt idx="10">
                  <c:v>9.4373042985891775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6E-0249-B627-E7F3F9BA20D8}"/>
            </c:ext>
          </c:extLst>
        </c:ser>
        <c:ser>
          <c:idx val="5"/>
          <c:order val="5"/>
          <c:tx>
            <c:strRef>
              <c:f>Australia!$Q$13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Australia!$R$13:$AB$13</c:f>
              <c:numCache>
                <c:formatCode>_(* #,##0.00_);_(* \(#,##0.00\);_(* "-"??_);_(@_)</c:formatCode>
                <c:ptCount val="11"/>
                <c:pt idx="0">
                  <c:v>1.8782204353567478</c:v>
                </c:pt>
                <c:pt idx="1">
                  <c:v>2.3899526478164068</c:v>
                </c:pt>
                <c:pt idx="2">
                  <c:v>2.9384662968313657</c:v>
                </c:pt>
                <c:pt idx="3">
                  <c:v>3.4422528873556235</c:v>
                </c:pt>
                <c:pt idx="4">
                  <c:v>3.9494229007633441</c:v>
                </c:pt>
                <c:pt idx="5">
                  <c:v>4.464853101196975</c:v>
                </c:pt>
                <c:pt idx="6">
                  <c:v>4.9982615579480694</c:v>
                </c:pt>
                <c:pt idx="7">
                  <c:v>5.4906662364897496</c:v>
                </c:pt>
                <c:pt idx="8">
                  <c:v>5.9910473528444808</c:v>
                </c:pt>
                <c:pt idx="9">
                  <c:v>6.4894819782062019</c:v>
                </c:pt>
                <c:pt idx="10">
                  <c:v>7.0054531463748182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6E-0249-B627-E7F3F9BA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2592"/>
        <c:axId val="1671945424"/>
      </c:barChart>
      <c:catAx>
        <c:axId val="1671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5424"/>
        <c:crosses val="autoZero"/>
        <c:auto val="1"/>
        <c:lblAlgn val="ctr"/>
        <c:lblOffset val="100"/>
        <c:noMultiLvlLbl val="0"/>
      </c:catAx>
      <c:valAx>
        <c:axId val="167194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2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Australia!$Q$20</c:f>
              <c:strCache>
                <c:ptCount val="1"/>
                <c:pt idx="0">
                  <c:v>Diesel-Powered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Australia!$R$20:$AB$20</c:f>
              <c:numCache>
                <c:formatCode>_(* #,##0.00_);_(* \(#,##0.00\);_(* "-"??_);_(@_)</c:formatCode>
                <c:ptCount val="11"/>
                <c:pt idx="0">
                  <c:v>3.7765760451408337</c:v>
                </c:pt>
                <c:pt idx="1">
                  <c:v>4.3275480671713495</c:v>
                </c:pt>
                <c:pt idx="2">
                  <c:v>4.9173640895183945</c:v>
                </c:pt>
                <c:pt idx="3">
                  <c:v>5.4630304117869288</c:v>
                </c:pt>
                <c:pt idx="4">
                  <c:v>6.0136488958455248</c:v>
                </c:pt>
                <c:pt idx="5">
                  <c:v>6.57428173362955</c:v>
                </c:pt>
                <c:pt idx="6">
                  <c:v>7.15494520779687</c:v>
                </c:pt>
                <c:pt idx="7">
                  <c:v>7.6955412100285114</c:v>
                </c:pt>
                <c:pt idx="8">
                  <c:v>8.2461515690866563</c:v>
                </c:pt>
                <c:pt idx="9">
                  <c:v>8.7967599416407971</c:v>
                </c:pt>
                <c:pt idx="10">
                  <c:v>9.3673988309772138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5-2D4C-9329-571D6E573962}"/>
            </c:ext>
          </c:extLst>
        </c:ser>
        <c:ser>
          <c:idx val="1"/>
          <c:order val="1"/>
          <c:tx>
            <c:strRef>
              <c:f>Australia!$Q$21</c:f>
              <c:strCache>
                <c:ptCount val="1"/>
                <c:pt idx="0">
                  <c:v>Hybrid / Electric-Powered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Australia!$R$21:$AB$21</c:f>
              <c:numCache>
                <c:formatCode>_(* #,##0.00_);_(* \(#,##0.00\);_(* "-"??_);_(@_)</c:formatCode>
                <c:ptCount val="11"/>
                <c:pt idx="0">
                  <c:v>3.7626498664191654</c:v>
                </c:pt>
                <c:pt idx="1">
                  <c:v>4.3135921690748757</c:v>
                </c:pt>
                <c:pt idx="2">
                  <c:v>4.9033735489336649</c:v>
                </c:pt>
                <c:pt idx="3">
                  <c:v>5.4490113847583732</c:v>
                </c:pt>
                <c:pt idx="4">
                  <c:v>5.9996009743649159</c:v>
                </c:pt>
                <c:pt idx="5">
                  <c:v>6.5602038452629241</c:v>
                </c:pt>
                <c:pt idx="6">
                  <c:v>7.1408349716664876</c:v>
                </c:pt>
                <c:pt idx="7">
                  <c:v>7.6814041570438807</c:v>
                </c:pt>
                <c:pt idx="8">
                  <c:v>8.2319866251585374</c:v>
                </c:pt>
                <c:pt idx="9">
                  <c:v>8.7825673497582422</c:v>
                </c:pt>
                <c:pt idx="10">
                  <c:v>9.3531762271525487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5-2D4C-9329-571D6E573962}"/>
            </c:ext>
          </c:extLst>
        </c:ser>
        <c:ser>
          <c:idx val="2"/>
          <c:order val="2"/>
          <c:tx>
            <c:strRef>
              <c:f>Australia!$Q$22</c:f>
              <c:strCache>
                <c:ptCount val="1"/>
                <c:pt idx="0">
                  <c:v>Emerging Battery-Swap Models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Australia!$R$22:$AB$22</c:f>
              <c:numCache>
                <c:formatCode>_(* #,##0.00_);_(* \(#,##0.00\);_(* "-"??_);_(@_)</c:formatCode>
                <c:ptCount val="11"/>
                <c:pt idx="0">
                  <c:v>3.3372494956312782</c:v>
                </c:pt>
                <c:pt idx="1">
                  <c:v>3.885471565331966</c:v>
                </c:pt>
                <c:pt idx="2">
                  <c:v>4.4723638726409387</c:v>
                </c:pt>
                <c:pt idx="3">
                  <c:v>5.0152844957350506</c:v>
                </c:pt>
                <c:pt idx="4">
                  <c:v>5.5631270751584694</c:v>
                </c:pt>
                <c:pt idx="5">
                  <c:v>6.1209321093513624</c:v>
                </c:pt>
                <c:pt idx="6">
                  <c:v>6.6986730049560128</c:v>
                </c:pt>
                <c:pt idx="7">
                  <c:v>7.2365074536051122</c:v>
                </c:pt>
                <c:pt idx="8">
                  <c:v>7.7843040162684174</c:v>
                </c:pt>
                <c:pt idx="9">
                  <c:v>8.3320888979508734</c:v>
                </c:pt>
                <c:pt idx="10">
                  <c:v>8.8998088520903629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5-2D4C-9329-571D6E573962}"/>
            </c:ext>
          </c:extLst>
        </c:ser>
        <c:ser>
          <c:idx val="3"/>
          <c:order val="3"/>
          <c:tx>
            <c:strRef>
              <c:f>Australia!$Q$23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Australia!$R$23:$AB$23</c:f>
              <c:numCache>
                <c:formatCode>_(* #,##0.00_);_(* \(#,##0.00\);_(* "-"??_);_(@_)</c:formatCode>
                <c:ptCount val="11"/>
                <c:pt idx="0">
                  <c:v>2.7050382697985098</c:v>
                </c:pt>
                <c:pt idx="1">
                  <c:v>3.2426657847833829</c:v>
                </c:pt>
                <c:pt idx="2">
                  <c:v>3.8185075071693442</c:v>
                </c:pt>
                <c:pt idx="3">
                  <c:v>4.3504303877438311</c:v>
                </c:pt>
                <c:pt idx="4">
                  <c:v>4.8870183266932044</c:v>
                </c:pt>
                <c:pt idx="5">
                  <c:v>5.4332716893141564</c:v>
                </c:pt>
                <c:pt idx="6">
                  <c:v>5.9990895813047729</c:v>
                </c:pt>
                <c:pt idx="7">
                  <c:v>6.5250151502743492</c:v>
                </c:pt>
                <c:pt idx="8">
                  <c:v>7.0605843941147217</c:v>
                </c:pt>
                <c:pt idx="9">
                  <c:v>7.5958815185648731</c:v>
                </c:pt>
                <c:pt idx="10">
                  <c:v>8.1507083894878818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95-2D4C-9329-571D6E573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2592"/>
        <c:axId val="1671945424"/>
      </c:barChart>
      <c:catAx>
        <c:axId val="1671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5424"/>
        <c:crosses val="autoZero"/>
        <c:auto val="1"/>
        <c:lblAlgn val="ctr"/>
        <c:lblOffset val="100"/>
        <c:noMultiLvlLbl val="0"/>
      </c:catAx>
      <c:valAx>
        <c:axId val="167194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2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Australia!$Q$30</c:f>
              <c:strCache>
                <c:ptCount val="1"/>
                <c:pt idx="0">
                  <c:v>Construction &amp; Building Maintenance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Australia!$R$30:$AB$30</c:f>
              <c:numCache>
                <c:formatCode>_(* #,##0.00_);_(* \(#,##0.00\);_(* "-"??_);_(@_)</c:formatCode>
                <c:ptCount val="11"/>
                <c:pt idx="0">
                  <c:v>4.1695482831828778</c:v>
                </c:pt>
                <c:pt idx="1">
                  <c:v>4.7198206624135652</c:v>
                </c:pt>
                <c:pt idx="2">
                  <c:v>5.3090849375795779</c:v>
                </c:pt>
                <c:pt idx="3">
                  <c:v>5.8540366435581026</c:v>
                </c:pt>
                <c:pt idx="4">
                  <c:v>6.4039618501768869</c:v>
                </c:pt>
                <c:pt idx="5">
                  <c:v>6.96394085159453</c:v>
                </c:pt>
                <c:pt idx="6">
                  <c:v>7.5440255194718864</c:v>
                </c:pt>
                <c:pt idx="7">
                  <c:v>8.0838995152049407</c:v>
                </c:pt>
                <c:pt idx="8">
                  <c:v>8.6338269981147917</c:v>
                </c:pt>
                <c:pt idx="9">
                  <c:v>9.1837552337753046</c:v>
                </c:pt>
                <c:pt idx="10">
                  <c:v>9.7537874777628311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3C4D-8B89-EA6D97715CF9}"/>
            </c:ext>
          </c:extLst>
        </c:ser>
        <c:ser>
          <c:idx val="1"/>
          <c:order val="1"/>
          <c:tx>
            <c:strRef>
              <c:f>Australia!$Q$31</c:f>
              <c:strCache>
                <c:ptCount val="1"/>
                <c:pt idx="0">
                  <c:v>Utility &amp; Infrastructure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Australia!$R$31:$AB$31</c:f>
              <c:numCache>
                <c:formatCode>_(* #,##0.00_);_(* \(#,##0.00\);_(* "-"??_);_(@_)</c:formatCode>
                <c:ptCount val="11"/>
                <c:pt idx="0">
                  <c:v>3.4153312084286291</c:v>
                </c:pt>
                <c:pt idx="1">
                  <c:v>3.96431648652944</c:v>
                </c:pt>
                <c:pt idx="2">
                  <c:v>4.5520075332570853</c:v>
                </c:pt>
                <c:pt idx="3">
                  <c:v>5.0956995979700714</c:v>
                </c:pt>
                <c:pt idx="4">
                  <c:v>5.6443235391218094</c:v>
                </c:pt>
                <c:pt idx="5">
                  <c:v>6.2029238605543435</c:v>
                </c:pt>
                <c:pt idx="6">
                  <c:v>6.7814818742130134</c:v>
                </c:pt>
                <c:pt idx="7">
                  <c:v>7.3201088905119116</c:v>
                </c:pt>
                <c:pt idx="8">
                  <c:v>7.8687121665668824</c:v>
                </c:pt>
                <c:pt idx="9">
                  <c:v>8.4173102299233804</c:v>
                </c:pt>
                <c:pt idx="10">
                  <c:v>8.9858656606796927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1-3C4D-8B89-EA6D97715CF9}"/>
            </c:ext>
          </c:extLst>
        </c:ser>
        <c:ser>
          <c:idx val="2"/>
          <c:order val="2"/>
          <c:tx>
            <c:strRef>
              <c:f>Australia!$Q$32</c:f>
              <c:strCache>
                <c:ptCount val="1"/>
                <c:pt idx="0">
                  <c:v>Tree Care &amp; Landscaping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Australia!$R$32:$AB$32</c:f>
              <c:numCache>
                <c:formatCode>_(* #,##0.00_);_(* \(#,##0.00\);_(* "-"??_);_(@_)</c:formatCode>
                <c:ptCount val="11"/>
                <c:pt idx="0">
                  <c:v>2.7707488602989994</c:v>
                </c:pt>
                <c:pt idx="1">
                  <c:v>3.3098458339191339</c:v>
                </c:pt>
                <c:pt idx="2">
                  <c:v>3.8872232113961624</c:v>
                </c:pt>
                <c:pt idx="3">
                  <c:v>4.4206954257337783</c:v>
                </c:pt>
                <c:pt idx="4">
                  <c:v>4.9588796840969618</c:v>
                </c:pt>
                <c:pt idx="5">
                  <c:v>5.5067816091954214</c:v>
                </c:pt>
                <c:pt idx="6">
                  <c:v>6.0743093705367457</c:v>
                </c:pt>
                <c:pt idx="7">
                  <c:v>6.6019656799298554</c:v>
                </c:pt>
                <c:pt idx="8">
                  <c:v>7.1393232686922214</c:v>
                </c:pt>
                <c:pt idx="9">
                  <c:v>7.6764612182482317</c:v>
                </c:pt>
                <c:pt idx="10">
                  <c:v>8.2331985002678021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1-3C4D-8B89-EA6D97715CF9}"/>
            </c:ext>
          </c:extLst>
        </c:ser>
        <c:ser>
          <c:idx val="3"/>
          <c:order val="3"/>
          <c:tx>
            <c:strRef>
              <c:f>Australia!$Q$33</c:f>
              <c:strCache>
                <c:ptCount val="1"/>
                <c:pt idx="0">
                  <c:v>Mining &amp; Industrial Maintenance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Australia!$R$33:$AB$33</c:f>
              <c:numCache>
                <c:formatCode>_(* #,##0.00_);_(* \(#,##0.00\);_(* "-"??_);_(@_)</c:formatCode>
                <c:ptCount val="11"/>
                <c:pt idx="0">
                  <c:v>3.7905535830711878</c:v>
                </c:pt>
                <c:pt idx="1">
                  <c:v>4.3415516682503208</c:v>
                </c:pt>
                <c:pt idx="2">
                  <c:v>4.931398689760047</c:v>
                </c:pt>
                <c:pt idx="3">
                  <c:v>5.4770898321816475</c:v>
                </c:pt>
                <c:pt idx="4">
                  <c:v>6.0277335435553914</c:v>
                </c:pt>
                <c:pt idx="5">
                  <c:v>6.5883926814873206</c:v>
                </c:pt>
                <c:pt idx="6">
                  <c:v>7.1690848389630801</c:v>
                </c:pt>
                <c:pt idx="7">
                  <c:v>7.709703979611815</c:v>
                </c:pt>
                <c:pt idx="8">
                  <c:v>8.2603385518591033</c:v>
                </c:pt>
                <c:pt idx="9">
                  <c:v>8.8109708927524899</c:v>
                </c:pt>
                <c:pt idx="10">
                  <c:v>9.3816361154446248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01-3C4D-8B89-EA6D97715CF9}"/>
            </c:ext>
          </c:extLst>
        </c:ser>
        <c:ser>
          <c:idx val="4"/>
          <c:order val="4"/>
          <c:tx>
            <c:strRef>
              <c:f>Australia!$Q$34</c:f>
              <c:strCache>
                <c:ptCount val="1"/>
                <c:pt idx="0">
                  <c:v>Facility Management &amp; Warehousing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Australia!$R$34:$AB$34</c:f>
              <c:numCache>
                <c:formatCode>_(* #,##0.00_);_(* \(#,##0.00\);_(* "-"??_);_(@_)</c:formatCode>
                <c:ptCount val="11"/>
                <c:pt idx="0">
                  <c:v>3.0809055298184784</c:v>
                </c:pt>
                <c:pt idx="1">
                  <c:v>3.6257821832100356</c:v>
                </c:pt>
                <c:pt idx="2">
                  <c:v>4.2091867322993748</c:v>
                </c:pt>
                <c:pt idx="3">
                  <c:v>4.7486840085942283</c:v>
                </c:pt>
                <c:pt idx="4">
                  <c:v>5.293044350173548</c:v>
                </c:pt>
                <c:pt idx="5">
                  <c:v>5.8472941541324319</c:v>
                </c:pt>
                <c:pt idx="6">
                  <c:v>6.4213794715922257</c:v>
                </c:pt>
                <c:pt idx="7">
                  <c:v>6.9556126606079571</c:v>
                </c:pt>
                <c:pt idx="8">
                  <c:v>7.4997322202095207</c:v>
                </c:pt>
                <c:pt idx="9">
                  <c:v>8.04378939034045</c:v>
                </c:pt>
                <c:pt idx="10">
                  <c:v>8.6076765103876518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01-3C4D-8B89-EA6D97715CF9}"/>
            </c:ext>
          </c:extLst>
        </c:ser>
        <c:ser>
          <c:idx val="5"/>
          <c:order val="5"/>
          <c:tx>
            <c:strRef>
              <c:f>Australia!$Q$35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Australia!$R$35:$AB$35</c:f>
              <c:numCache>
                <c:formatCode>_(* #,##0.00_);_(* \(#,##0.00\);_(* "-"??_);_(@_)</c:formatCode>
                <c:ptCount val="11"/>
                <c:pt idx="0">
                  <c:v>2.2638963966318926</c:v>
                </c:pt>
                <c:pt idx="1">
                  <c:v>2.7894235050181848</c:v>
                </c:pt>
                <c:pt idx="2">
                  <c:v>3.3525574353487908</c:v>
                </c:pt>
                <c:pt idx="3">
                  <c:v>3.8715097222222328</c:v>
                </c:pt>
                <c:pt idx="4">
                  <c:v>4.3946276221314973</c:v>
                </c:pt>
                <c:pt idx="5">
                  <c:v>4.92686268912359</c:v>
                </c:pt>
                <c:pt idx="6">
                  <c:v>5.4780373425966422</c:v>
                </c:pt>
                <c:pt idx="7">
                  <c:v>5.9889606576629451</c:v>
                </c:pt>
                <c:pt idx="8">
                  <c:v>6.5088994787788623</c:v>
                </c:pt>
                <c:pt idx="9">
                  <c:v>7.0279570867331609</c:v>
                </c:pt>
                <c:pt idx="10">
                  <c:v>7.565796656954471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01-3C4D-8B89-EA6D9771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2592"/>
        <c:axId val="1671945424"/>
      </c:barChart>
      <c:catAx>
        <c:axId val="1671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5424"/>
        <c:crosses val="autoZero"/>
        <c:auto val="1"/>
        <c:lblAlgn val="ctr"/>
        <c:lblOffset val="100"/>
        <c:noMultiLvlLbl val="0"/>
      </c:catAx>
      <c:valAx>
        <c:axId val="167194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2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Australia!$Q$42</c:f>
              <c:strCache>
                <c:ptCount val="1"/>
                <c:pt idx="0">
                  <c:v>Rental Companies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Australia!$R$42:$AB$42</c:f>
              <c:numCache>
                <c:formatCode>_(* #,##0.00_);_(* \(#,##0.00\);_(* "-"??_);_(@_)</c:formatCode>
                <c:ptCount val="11"/>
                <c:pt idx="0">
                  <c:v>4.2641832362076526</c:v>
                </c:pt>
                <c:pt idx="1">
                  <c:v>4.8138453418772764</c:v>
                </c:pt>
                <c:pt idx="2">
                  <c:v>5.4025417415825228</c:v>
                </c:pt>
                <c:pt idx="3">
                  <c:v>5.9468935488063757</c:v>
                </c:pt>
                <c:pt idx="4">
                  <c:v>6.4962307857911572</c:v>
                </c:pt>
                <c:pt idx="5">
                  <c:v>7.055637810774984</c:v>
                </c:pt>
                <c:pt idx="6">
                  <c:v>7.6351745842725416</c:v>
                </c:pt>
                <c:pt idx="7">
                  <c:v>8.1744735173521441</c:v>
                </c:pt>
                <c:pt idx="8">
                  <c:v>8.7238414352338367</c:v>
                </c:pt>
                <c:pt idx="9">
                  <c:v>9.2732169555230559</c:v>
                </c:pt>
                <c:pt idx="10">
                  <c:v>9.8427194985263089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E-4A40-A6D4-9707932C6A0E}"/>
            </c:ext>
          </c:extLst>
        </c:ser>
        <c:ser>
          <c:idx val="1"/>
          <c:order val="1"/>
          <c:tx>
            <c:strRef>
              <c:f>Australia!$Q$43</c:f>
              <c:strCache>
                <c:ptCount val="1"/>
                <c:pt idx="0">
                  <c:v>Contractors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Australia!$R$43:$AB$43</c:f>
              <c:numCache>
                <c:formatCode>_(* #,##0.00_);_(* \(#,##0.00\);_(* "-"??_);_(@_)</c:formatCode>
                <c:ptCount val="11"/>
                <c:pt idx="0">
                  <c:v>3.4714920029117025</c:v>
                </c:pt>
                <c:pt idx="1">
                  <c:v>4.0209526493198089</c:v>
                </c:pt>
                <c:pt idx="2">
                  <c:v>4.6091429368709358</c:v>
                </c:pt>
                <c:pt idx="3">
                  <c:v>5.1533129949370204</c:v>
                </c:pt>
                <c:pt idx="4">
                  <c:v>5.7024203821655961</c:v>
                </c:pt>
                <c:pt idx="5">
                  <c:v>6.2615124300403391</c:v>
                </c:pt>
                <c:pt idx="6">
                  <c:v>6.8405760458751574</c:v>
                </c:pt>
                <c:pt idx="7">
                  <c:v>7.3796894166775262</c:v>
                </c:pt>
                <c:pt idx="8">
                  <c:v>7.9287874036325423</c:v>
                </c:pt>
                <c:pt idx="9">
                  <c:v>8.4778830302237438</c:v>
                </c:pt>
                <c:pt idx="10">
                  <c:v>9.0469500851565687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E-4A40-A6D4-9707932C6A0E}"/>
            </c:ext>
          </c:extLst>
        </c:ser>
        <c:ser>
          <c:idx val="2"/>
          <c:order val="2"/>
          <c:tx>
            <c:strRef>
              <c:f>Australia!$Q$44</c:f>
              <c:strCache>
                <c:ptCount val="1"/>
                <c:pt idx="0">
                  <c:v>Municipalities &amp; Public Sector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Australia!$R$44:$AB$44</c:f>
              <c:numCache>
                <c:formatCode>_(* #,##0.00_);_(* \(#,##0.00\);_(* "-"??_);_(@_)</c:formatCode>
                <c:ptCount val="11"/>
                <c:pt idx="0">
                  <c:v>3.3226469035066097</c:v>
                </c:pt>
                <c:pt idx="1">
                  <c:v>3.8707130133023293</c:v>
                </c:pt>
                <c:pt idx="2">
                  <c:v>4.4574423744669689</c:v>
                </c:pt>
                <c:pt idx="3">
                  <c:v>5.0002048262177468</c:v>
                </c:pt>
                <c:pt idx="4">
                  <c:v>5.5478870346598264</c:v>
                </c:pt>
                <c:pt idx="5">
                  <c:v>6.1055287378515732</c:v>
                </c:pt>
                <c:pt idx="6">
                  <c:v>6.6831018458758384</c:v>
                </c:pt>
                <c:pt idx="7">
                  <c:v>7.2207727655167808</c:v>
                </c:pt>
                <c:pt idx="8">
                  <c:v>7.768402777777772</c:v>
                </c:pt>
                <c:pt idx="9">
                  <c:v>8.3160195248942479</c:v>
                </c:pt>
                <c:pt idx="10">
                  <c:v>8.8835667667406462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E-4A40-A6D4-9707932C6A0E}"/>
            </c:ext>
          </c:extLst>
        </c:ser>
        <c:ser>
          <c:idx val="3"/>
          <c:order val="3"/>
          <c:tx>
            <c:strRef>
              <c:f>Australia!$Q$45</c:f>
              <c:strCache>
                <c:ptCount val="1"/>
                <c:pt idx="0">
                  <c:v>Facility Owners &amp; Property Managers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Australia!$R$45:$AB$45</c:f>
              <c:numCache>
                <c:formatCode>_(* #,##0.00_);_(* \(#,##0.00\);_(* "-"??_);_(@_)</c:formatCode>
                <c:ptCount val="11"/>
                <c:pt idx="0">
                  <c:v>2.6983434859488842</c:v>
                </c:pt>
                <c:pt idx="1">
                  <c:v>3.2358164626911101</c:v>
                </c:pt>
                <c:pt idx="2">
                  <c:v>3.8114965939620715</c:v>
                </c:pt>
                <c:pt idx="3">
                  <c:v>4.3432561698871108</c:v>
                </c:pt>
                <c:pt idx="4">
                  <c:v>4.8796756756756654</c:v>
                </c:pt>
                <c:pt idx="5">
                  <c:v>5.4257549191506049</c:v>
                </c:pt>
                <c:pt idx="6">
                  <c:v>5.9913920566260437</c:v>
                </c:pt>
                <c:pt idx="7">
                  <c:v>6.517134352053966</c:v>
                </c:pt>
                <c:pt idx="8">
                  <c:v>7.0525140224358962</c:v>
                </c:pt>
                <c:pt idx="9">
                  <c:v>7.5876157735085936</c:v>
                </c:pt>
                <c:pt idx="10">
                  <c:v>8.1422396896692284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4E-4A40-A6D4-9707932C6A0E}"/>
            </c:ext>
          </c:extLst>
        </c:ser>
        <c:ser>
          <c:idx val="4"/>
          <c:order val="4"/>
          <c:tx>
            <c:strRef>
              <c:f>Australia!$Q$46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Australia!$R$46:$AB$46</c:f>
              <c:numCache>
                <c:formatCode>_(* #,##0.00_);_(* \(#,##0.00\);_(* "-"??_);_(@_)</c:formatCode>
                <c:ptCount val="11"/>
                <c:pt idx="0">
                  <c:v>2.0262054401152252</c:v>
                </c:pt>
                <c:pt idx="1">
                  <c:v>2.5435878877199114</c:v>
                </c:pt>
                <c:pt idx="2">
                  <c:v>3.098106252917221</c:v>
                </c:pt>
                <c:pt idx="3">
                  <c:v>3.608147934954653</c:v>
                </c:pt>
                <c:pt idx="4">
                  <c:v>4.1219186896753301</c:v>
                </c:pt>
                <c:pt idx="5">
                  <c:v>4.6443288241415193</c:v>
                </c:pt>
                <c:pt idx="6">
                  <c:v>5.1851420798065373</c:v>
                </c:pt>
                <c:pt idx="7">
                  <c:v>5.6853005380476329</c:v>
                </c:pt>
                <c:pt idx="8">
                  <c:v>6.1939020957147539</c:v>
                </c:pt>
                <c:pt idx="9">
                  <c:v>6.7010409040267227</c:v>
                </c:pt>
                <c:pt idx="10">
                  <c:v>7.2262783538561193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4E-4A40-A6D4-9707932C6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2592"/>
        <c:axId val="1671945424"/>
      </c:barChart>
      <c:catAx>
        <c:axId val="1671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5424"/>
        <c:crosses val="autoZero"/>
        <c:auto val="1"/>
        <c:lblAlgn val="ctr"/>
        <c:lblOffset val="100"/>
        <c:noMultiLvlLbl val="0"/>
      </c:catAx>
      <c:valAx>
        <c:axId val="167194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2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Australia!$Q$53</c:f>
              <c:strCache>
                <c:ptCount val="1"/>
                <c:pt idx="0">
                  <c:v>Direct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Australia!$R$53:$AB$53</c:f>
              <c:numCache>
                <c:formatCode>_(* #,##0.00_);_(* \(#,##0.00\);_(* "-"??_);_(@_)</c:formatCode>
                <c:ptCount val="11"/>
                <c:pt idx="0">
                  <c:v>3.3873656724742851</c:v>
                </c:pt>
                <c:pt idx="1">
                  <c:v>3.936091290477628</c:v>
                </c:pt>
                <c:pt idx="2">
                  <c:v>4.523510287221133</c:v>
                </c:pt>
                <c:pt idx="3">
                  <c:v>5.0669404025199372</c:v>
                </c:pt>
                <c:pt idx="4">
                  <c:v>5.6152991787250528</c:v>
                </c:pt>
                <c:pt idx="5">
                  <c:v>6.1736296959856718</c:v>
                </c:pt>
                <c:pt idx="6">
                  <c:v>6.7519104527857587</c:v>
                </c:pt>
                <c:pt idx="7">
                  <c:v>7.2902693280854525</c:v>
                </c:pt>
                <c:pt idx="8">
                  <c:v>7.8385997633402704</c:v>
                </c:pt>
                <c:pt idx="9">
                  <c:v>8.3869230334858038</c:v>
                </c:pt>
                <c:pt idx="10">
                  <c:v>8.9551960839794109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3-6F48-9920-FB4A587B21A3}"/>
            </c:ext>
          </c:extLst>
        </c:ser>
        <c:ser>
          <c:idx val="1"/>
          <c:order val="1"/>
          <c:tx>
            <c:strRef>
              <c:f>Australia!$Q$54</c:f>
              <c:strCache>
                <c:ptCount val="1"/>
                <c:pt idx="0">
                  <c:v>Dealer/Distributor Channel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Australia!$R$54:$AB$54</c:f>
              <c:numCache>
                <c:formatCode>_(* #,##0.00_);_(* \(#,##0.00\);_(* "-"??_);_(@_)</c:formatCode>
                <c:ptCount val="11"/>
                <c:pt idx="0">
                  <c:v>4.1986964159091089</c:v>
                </c:pt>
                <c:pt idx="1">
                  <c:v>4.7487990281162462</c:v>
                </c:pt>
                <c:pt idx="2">
                  <c:v>5.3379061704484032</c:v>
                </c:pt>
                <c:pt idx="3">
                  <c:v>5.882690444331673</c:v>
                </c:pt>
                <c:pt idx="4">
                  <c:v>6.4324514796971544</c:v>
                </c:pt>
                <c:pt idx="5">
                  <c:v>6.9922708399872358</c:v>
                </c:pt>
                <c:pt idx="6">
                  <c:v>7.5722029130178337</c:v>
                </c:pt>
                <c:pt idx="7">
                  <c:v>8.1119155272776577</c:v>
                </c:pt>
                <c:pt idx="8">
                  <c:v>8.6616860386842021</c:v>
                </c:pt>
                <c:pt idx="9">
                  <c:v>9.2114590493193482</c:v>
                </c:pt>
                <c:pt idx="10">
                  <c:v>9.7813428330447714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3-6F48-9920-FB4A587B21A3}"/>
            </c:ext>
          </c:extLst>
        </c:ser>
        <c:ser>
          <c:idx val="2"/>
          <c:order val="2"/>
          <c:tx>
            <c:strRef>
              <c:f>Australia!$Q$55</c:f>
              <c:strCache>
                <c:ptCount val="1"/>
                <c:pt idx="0">
                  <c:v>Rental &amp; Leasing Companies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Australia!$R$55:$AB$55</c:f>
              <c:numCache>
                <c:formatCode>_(* #,##0.00_);_(* \(#,##0.00\);_(* "-"??_);_(@_)</c:formatCode>
                <c:ptCount val="11"/>
                <c:pt idx="0">
                  <c:v>3.4534447336647567</c:v>
                </c:pt>
                <c:pt idx="1">
                  <c:v>4.0027593255999028</c:v>
                </c:pt>
                <c:pt idx="2">
                  <c:v>4.5907960253647628</c:v>
                </c:pt>
                <c:pt idx="3">
                  <c:v>5.1348194546794401</c:v>
                </c:pt>
                <c:pt idx="4">
                  <c:v>5.6837785977859712</c:v>
                </c:pt>
                <c:pt idx="5">
                  <c:v>6.2427198817442742</c:v>
                </c:pt>
                <c:pt idx="6">
                  <c:v>6.8216284233900915</c:v>
                </c:pt>
                <c:pt idx="7">
                  <c:v>7.3605930318754842</c:v>
                </c:pt>
                <c:pt idx="8">
                  <c:v>7.9095397178915894</c:v>
                </c:pt>
                <c:pt idx="9">
                  <c:v>8.4584832713754601</c:v>
                </c:pt>
                <c:pt idx="10">
                  <c:v>9.0273938942665666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3-6F48-9920-FB4A587B21A3}"/>
            </c:ext>
          </c:extLst>
        </c:ser>
        <c:ser>
          <c:idx val="3"/>
          <c:order val="3"/>
          <c:tx>
            <c:strRef>
              <c:f>Australia!$Q$56</c:f>
              <c:strCache>
                <c:ptCount val="1"/>
                <c:pt idx="0">
                  <c:v>Export to Regional Markets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Australia!$R$56:$AB$56</c:f>
              <c:numCache>
                <c:formatCode>_(* #,##0.00_);_(* \(#,##0.00\);_(* "-"??_);_(@_)</c:formatCode>
                <c:ptCount val="11"/>
                <c:pt idx="0">
                  <c:v>3.1358172846612353</c:v>
                </c:pt>
                <c:pt idx="1">
                  <c:v>3.6815192102978234</c:v>
                </c:pt>
                <c:pt idx="2">
                  <c:v>4.2657834485926971</c:v>
                </c:pt>
                <c:pt idx="3">
                  <c:v>4.8061305147058864</c:v>
                </c:pt>
                <c:pt idx="4">
                  <c:v>5.3513573407202308</c:v>
                </c:pt>
                <c:pt idx="5">
                  <c:v>5.9064935064935042</c:v>
                </c:pt>
                <c:pt idx="6">
                  <c:v>6.4814911463187519</c:v>
                </c:pt>
                <c:pt idx="7">
                  <c:v>7.0166292134831387</c:v>
                </c:pt>
                <c:pt idx="8">
                  <c:v>7.5616745061147794</c:v>
                </c:pt>
                <c:pt idx="9">
                  <c:v>8.1066729678638936</c:v>
                </c:pt>
                <c:pt idx="10">
                  <c:v>8.6715289648622971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3-6F48-9920-FB4A587B21A3}"/>
            </c:ext>
          </c:extLst>
        </c:ser>
        <c:ser>
          <c:idx val="4"/>
          <c:order val="4"/>
          <c:tx>
            <c:strRef>
              <c:f>Australia!$Q$57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Australia!$R$57:$AB$57</c:f>
              <c:numCache>
                <c:formatCode>_(* #,##0.00_);_(* \(#,##0.00\);_(* "-"??_);_(@_)</c:formatCode>
                <c:ptCount val="11"/>
                <c:pt idx="0">
                  <c:v>2.0691919140869652</c:v>
                </c:pt>
                <c:pt idx="1">
                  <c:v>2.5881321354481512</c:v>
                </c:pt>
                <c:pt idx="2">
                  <c:v>3.1443020649174924</c:v>
                </c:pt>
                <c:pt idx="3">
                  <c:v>3.6560580130529319</c:v>
                </c:pt>
                <c:pt idx="4">
                  <c:v>4.1716322922805027</c:v>
                </c:pt>
                <c:pt idx="5">
                  <c:v>4.69594372099984</c:v>
                </c:pt>
                <c:pt idx="6">
                  <c:v>5.2387678734408416</c:v>
                </c:pt>
                <c:pt idx="7">
                  <c:v>5.7410236585742958</c:v>
                </c:pt>
                <c:pt idx="8">
                  <c:v>6.2518411949685548</c:v>
                </c:pt>
                <c:pt idx="9">
                  <c:v>6.7613177674716196</c:v>
                </c:pt>
                <c:pt idx="10">
                  <c:v>7.2890351448096302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A3-6F48-9920-FB4A587B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2592"/>
        <c:axId val="1671945424"/>
      </c:barChart>
      <c:catAx>
        <c:axId val="1671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5424"/>
        <c:crosses val="autoZero"/>
        <c:auto val="1"/>
        <c:lblAlgn val="ctr"/>
        <c:lblOffset val="100"/>
        <c:noMultiLvlLbl val="0"/>
      </c:catAx>
      <c:valAx>
        <c:axId val="167194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2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Australia!$Q$64</c:f>
              <c:strCache>
                <c:ptCount val="1"/>
                <c:pt idx="0">
                  <c:v>New South Wales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Australia!$R$64:$AB$64</c:f>
              <c:numCache>
                <c:formatCode>_(* #,##0.00_);_(* \(#,##0.00\);_(* "-"??_);_(@_)</c:formatCode>
                <c:ptCount val="11"/>
                <c:pt idx="0">
                  <c:v>4.0169416997912766</c:v>
                </c:pt>
                <c:pt idx="1">
                  <c:v>4.567837798144514</c:v>
                </c:pt>
                <c:pt idx="2">
                  <c:v>5.1576645983075542</c:v>
                </c:pt>
                <c:pt idx="3">
                  <c:v>5.7032379265782751</c:v>
                </c:pt>
                <c:pt idx="4">
                  <c:v>6.2537725864123983</c:v>
                </c:pt>
                <c:pt idx="5">
                  <c:v>6.8143420240300179</c:v>
                </c:pt>
                <c:pt idx="6">
                  <c:v>7.3949846255735974</c:v>
                </c:pt>
                <c:pt idx="7">
                  <c:v>7.9354676970924798</c:v>
                </c:pt>
                <c:pt idx="8">
                  <c:v>8.4859855419424424</c:v>
                </c:pt>
                <c:pt idx="9">
                  <c:v>9.0364994154781275</c:v>
                </c:pt>
                <c:pt idx="10">
                  <c:v>9.6070857595379024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8-B74D-B869-1638A5C11C51}"/>
            </c:ext>
          </c:extLst>
        </c:ser>
        <c:ser>
          <c:idx val="1"/>
          <c:order val="1"/>
          <c:tx>
            <c:strRef>
              <c:f>Australia!$Q$65</c:f>
              <c:strCache>
                <c:ptCount val="1"/>
                <c:pt idx="0">
                  <c:v>Victoria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Australia!$R$65:$AB$65</c:f>
              <c:numCache>
                <c:formatCode>_(* #,##0.00_);_(* \(#,##0.00\);_(* "-"??_);_(@_)</c:formatCode>
                <c:ptCount val="11"/>
                <c:pt idx="0">
                  <c:v>3.8011723665581254</c:v>
                </c:pt>
                <c:pt idx="1">
                  <c:v>4.3521877311232915</c:v>
                </c:pt>
                <c:pt idx="2">
                  <c:v>4.9420557802736909</c:v>
                </c:pt>
                <c:pt idx="3">
                  <c:v>5.4877632578028024</c:v>
                </c:pt>
                <c:pt idx="4">
                  <c:v>6.0384236138811387</c:v>
                </c:pt>
                <c:pt idx="5">
                  <c:v>6.5991002110124652</c:v>
                </c:pt>
                <c:pt idx="6">
                  <c:v>7.1798116356700081</c:v>
                </c:pt>
                <c:pt idx="7">
                  <c:v>7.7204458371345819</c:v>
                </c:pt>
                <c:pt idx="8">
                  <c:v>8.2710962863251183</c:v>
                </c:pt>
                <c:pt idx="9">
                  <c:v>8.8217443193044698</c:v>
                </c:pt>
                <c:pt idx="10">
                  <c:v>9.3924270274534649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8-B74D-B869-1638A5C11C51}"/>
            </c:ext>
          </c:extLst>
        </c:ser>
        <c:ser>
          <c:idx val="2"/>
          <c:order val="2"/>
          <c:tx>
            <c:strRef>
              <c:f>Australia!$Q$66</c:f>
              <c:strCache>
                <c:ptCount val="1"/>
                <c:pt idx="0">
                  <c:v>Queensland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Australia!$R$66:$AB$66</c:f>
              <c:numCache>
                <c:formatCode>_(* #,##0.00_);_(* \(#,##0.00\);_(* "-"??_);_(@_)</c:formatCode>
                <c:ptCount val="11"/>
                <c:pt idx="0">
                  <c:v>3.4392246630480239</c:v>
                </c:pt>
                <c:pt idx="1">
                  <c:v>3.9884197018105416</c:v>
                </c:pt>
                <c:pt idx="2">
                  <c:v>4.5763308226234312</c:v>
                </c:pt>
                <c:pt idx="3">
                  <c:v>5.1202340709440408</c:v>
                </c:pt>
                <c:pt idx="4">
                  <c:v>5.6690716712145761</c:v>
                </c:pt>
                <c:pt idx="5">
                  <c:v>6.2278893351182418</c:v>
                </c:pt>
                <c:pt idx="6">
                  <c:v>6.8066707637298496</c:v>
                </c:pt>
                <c:pt idx="7">
                  <c:v>7.3455131505316018</c:v>
                </c:pt>
                <c:pt idx="8">
                  <c:v>7.8943355193094478</c:v>
                </c:pt>
                <c:pt idx="9">
                  <c:v>8.4431540534471097</c:v>
                </c:pt>
                <c:pt idx="10">
                  <c:v>9.0119361187651403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8-B74D-B869-1638A5C11C51}"/>
            </c:ext>
          </c:extLst>
        </c:ser>
        <c:ser>
          <c:idx val="3"/>
          <c:order val="3"/>
          <c:tx>
            <c:strRef>
              <c:f>Australia!$Q$67</c:f>
              <c:strCache>
                <c:ptCount val="1"/>
                <c:pt idx="0">
                  <c:v>Western Australia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Australia!$R$67:$AB$67</c:f>
              <c:numCache>
                <c:formatCode>_(* #,##0.00_);_(* \(#,##0.00\);_(* "-"??_);_(@_)</c:formatCode>
                <c:ptCount val="11"/>
                <c:pt idx="0">
                  <c:v>3.2439583530927685</c:v>
                </c:pt>
                <c:pt idx="1">
                  <c:v>3.7911121841250894</c:v>
                </c:pt>
                <c:pt idx="2">
                  <c:v>4.3768895225537063</c:v>
                </c:pt>
                <c:pt idx="3">
                  <c:v>4.9187236320131111</c:v>
                </c:pt>
                <c:pt idx="4">
                  <c:v>5.4654635071090141</c:v>
                </c:pt>
                <c:pt idx="5">
                  <c:v>6.0221447143129048</c:v>
                </c:pt>
                <c:pt idx="6">
                  <c:v>6.5987309870807698</c:v>
                </c:pt>
                <c:pt idx="7">
                  <c:v>7.1354359072619111</c:v>
                </c:pt>
                <c:pt idx="8">
                  <c:v>7.6820812768412461</c:v>
                </c:pt>
                <c:pt idx="9">
                  <c:v>8.2287024766806169</c:v>
                </c:pt>
                <c:pt idx="10">
                  <c:v>8.7952269352443491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8-B74D-B869-1638A5C11C51}"/>
            </c:ext>
          </c:extLst>
        </c:ser>
        <c:ser>
          <c:idx val="4"/>
          <c:order val="4"/>
          <c:tx>
            <c:strRef>
              <c:f>Australia!$Q$68</c:f>
              <c:strCache>
                <c:ptCount val="1"/>
                <c:pt idx="0">
                  <c:v>South Australia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Australia!$R$5:$AB$5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Australia!$R$68:$AB$68</c:f>
              <c:numCache>
                <c:formatCode>_(* #,##0.00_);_(* \(#,##0.00\);_(* "-"??_);_(@_)</c:formatCode>
                <c:ptCount val="11"/>
                <c:pt idx="0">
                  <c:v>2.2599447796298078</c:v>
                </c:pt>
                <c:pt idx="1">
                  <c:v>2.7853458247222074</c:v>
                </c:pt>
                <c:pt idx="2">
                  <c:v>3.3483467756014074</c:v>
                </c:pt>
                <c:pt idx="3">
                  <c:v>3.8671621621621632</c:v>
                </c:pt>
                <c:pt idx="4">
                  <c:v>4.3901369863013739</c:v>
                </c:pt>
                <c:pt idx="5">
                  <c:v>4.9222222222222278</c:v>
                </c:pt>
                <c:pt idx="6">
                  <c:v>5.4732394366197479</c:v>
                </c:pt>
                <c:pt idx="7">
                  <c:v>5.9839999999999893</c:v>
                </c:pt>
                <c:pt idx="8">
                  <c:v>6.5037681159420435</c:v>
                </c:pt>
                <c:pt idx="9">
                  <c:v>7.022647058823539</c:v>
                </c:pt>
                <c:pt idx="10">
                  <c:v>7.5602985074626927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8-B74D-B869-1638A5C11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792592"/>
        <c:axId val="1671945424"/>
      </c:barChart>
      <c:catAx>
        <c:axId val="1671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45424"/>
        <c:crosses val="autoZero"/>
        <c:auto val="1"/>
        <c:lblAlgn val="ctr"/>
        <c:lblOffset val="100"/>
        <c:noMultiLvlLbl val="0"/>
      </c:catAx>
      <c:valAx>
        <c:axId val="167194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92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Australia!$AR$7</c:f>
              <c:strCache>
                <c:ptCount val="1"/>
                <c:pt idx="0">
                  <c:v>Spider Lifts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Australia!$AS$6:$AT$6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Australia!$AS$7:$AT$7</c:f>
              <c:numCache>
                <c:formatCode>0.00%</c:formatCode>
                <c:ptCount val="2"/>
                <c:pt idx="0">
                  <c:v>0.13694545454545454</c:v>
                </c:pt>
                <c:pt idx="1">
                  <c:v>0.13519999999999999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B-4945-9C9D-E32E8B854427}"/>
            </c:ext>
          </c:extLst>
        </c:ser>
        <c:ser>
          <c:idx val="1"/>
          <c:order val="1"/>
          <c:tx>
            <c:strRef>
              <c:f>Australia!$AR$8</c:f>
              <c:strCache>
                <c:ptCount val="1"/>
                <c:pt idx="0">
                  <c:v>Truck-Mounted Elevated Platforms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Australia!$AS$6:$AT$6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Australia!$AS$8:$AT$8</c:f>
              <c:numCache>
                <c:formatCode>0.00%</c:formatCode>
                <c:ptCount val="2"/>
                <c:pt idx="0">
                  <c:v>8.0745454545454537E-2</c:v>
                </c:pt>
                <c:pt idx="1">
                  <c:v>7.7199999999999991E-2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B-4945-9C9D-E32E8B854427}"/>
            </c:ext>
          </c:extLst>
        </c:ser>
        <c:ser>
          <c:idx val="2"/>
          <c:order val="2"/>
          <c:tx>
            <c:strRef>
              <c:f>Australia!$AR$9</c:f>
              <c:strCache>
                <c:ptCount val="1"/>
                <c:pt idx="0">
                  <c:v>Trailer-Mounted Platforms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Australia!$AS$6:$AT$6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Australia!$AS$9:$AT$9</c:f>
              <c:numCache>
                <c:formatCode>0.00%</c:formatCode>
                <c:ptCount val="2"/>
                <c:pt idx="0">
                  <c:v>7.46E-2</c:v>
                </c:pt>
                <c:pt idx="1">
                  <c:v>6.9800000000000001E-2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B-4945-9C9D-E32E8B854427}"/>
            </c:ext>
          </c:extLst>
        </c:ser>
        <c:ser>
          <c:idx val="3"/>
          <c:order val="3"/>
          <c:tx>
            <c:strRef>
              <c:f>Australia!$AR$10</c:f>
              <c:strCache>
                <c:ptCount val="1"/>
                <c:pt idx="0">
                  <c:v>Self-Propelled Aerial Work Platforms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Australia!$AS$6:$AT$6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Australia!$AS$10:$AT$10</c:f>
              <c:numCache>
                <c:formatCode>0.00%</c:formatCode>
                <c:ptCount val="2"/>
                <c:pt idx="0">
                  <c:v>0.45874545454545457</c:v>
                </c:pt>
                <c:pt idx="1">
                  <c:v>0.47260000000000002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4B-4945-9C9D-E32E8B854427}"/>
            </c:ext>
          </c:extLst>
        </c:ser>
        <c:ser>
          <c:idx val="4"/>
          <c:order val="4"/>
          <c:tx>
            <c:strRef>
              <c:f>Australia!$AR$11</c:f>
              <c:strCache>
                <c:ptCount val="1"/>
                <c:pt idx="0">
                  <c:v>Vertical Mast Lifts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Australia!$AS$6:$AT$6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Australia!$AS$11:$AT$11</c:f>
              <c:numCache>
                <c:formatCode>0.00%</c:formatCode>
                <c:ptCount val="2"/>
                <c:pt idx="0">
                  <c:v>0.19048181818181817</c:v>
                </c:pt>
                <c:pt idx="1">
                  <c:v>0.19309999999999999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4B-4945-9C9D-E32E8B854427}"/>
            </c:ext>
          </c:extLst>
        </c:ser>
        <c:ser>
          <c:idx val="5"/>
          <c:order val="5"/>
          <c:tx>
            <c:strRef>
              <c:f>Australia!$AR$12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Australia!$AS$6:$AT$6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Australia!$AS$12:$AT$12</c:f>
              <c:numCache>
                <c:formatCode>0.00%</c:formatCode>
                <c:ptCount val="2"/>
                <c:pt idx="0">
                  <c:v>5.8481818181818176E-2</c:v>
                </c:pt>
                <c:pt idx="1">
                  <c:v>5.21E-2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4B-4945-9C9D-E32E8B8544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7744909959269487"/>
          <c:w val="0.98100857833558253"/>
          <c:h val="0.2255089770953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Australia!$AR$17</c:f>
              <c:strCache>
                <c:ptCount val="1"/>
                <c:pt idx="0">
                  <c:v>Diesel-Powered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Australia!$AS$16:$AT$16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Australia!$AS$17:$AT$17</c:f>
              <c:numCache>
                <c:formatCode>0.00%</c:formatCode>
                <c:ptCount val="2"/>
                <c:pt idx="0">
                  <c:v>0.48285454545454543</c:v>
                </c:pt>
                <c:pt idx="1">
                  <c:v>0.48759999999999992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8-4841-9E25-4DC5995DBFDF}"/>
            </c:ext>
          </c:extLst>
        </c:ser>
        <c:ser>
          <c:idx val="1"/>
          <c:order val="1"/>
          <c:tx>
            <c:strRef>
              <c:f>Australia!$AR$18</c:f>
              <c:strCache>
                <c:ptCount val="1"/>
                <c:pt idx="0">
                  <c:v>Hybrid / Electric-Powered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Australia!$AS$16:$AT$16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Australia!$AS$18:$AT$18</c:f>
              <c:numCache>
                <c:formatCode>0.00%</c:formatCode>
                <c:ptCount val="2"/>
                <c:pt idx="0">
                  <c:v>0.31396363636363639</c:v>
                </c:pt>
                <c:pt idx="1">
                  <c:v>0.31680000000000008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8-4841-9E25-4DC5995DBFDF}"/>
            </c:ext>
          </c:extLst>
        </c:ser>
        <c:ser>
          <c:idx val="2"/>
          <c:order val="2"/>
          <c:tx>
            <c:strRef>
              <c:f>Australia!$AR$19</c:f>
              <c:strCache>
                <c:ptCount val="1"/>
                <c:pt idx="0">
                  <c:v>Emerging Battery-Swap Models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Australia!$AS$16:$AT$16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Australia!$AS$19:$AT$19</c:f>
              <c:numCache>
                <c:formatCode>0.00%</c:formatCode>
                <c:ptCount val="2"/>
                <c:pt idx="0">
                  <c:v>9.0118181818181819E-2</c:v>
                </c:pt>
                <c:pt idx="1">
                  <c:v>8.8700000000000001E-2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8-4841-9E25-4DC5995DBFDF}"/>
            </c:ext>
          </c:extLst>
        </c:ser>
        <c:ser>
          <c:idx val="3"/>
          <c:order val="3"/>
          <c:tx>
            <c:strRef>
              <c:f>Australia!$AR$20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Australia!$AS$16:$AT$16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Australia!$AS$20:$AT$20</c:f>
              <c:numCache>
                <c:formatCode>0.00%</c:formatCode>
                <c:ptCount val="2"/>
                <c:pt idx="0">
                  <c:v>0.11306363636363635</c:v>
                </c:pt>
                <c:pt idx="1">
                  <c:v>0.1069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B8-4841-9E25-4DC5995DBF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7744909959269487"/>
          <c:w val="0.75812795884623474"/>
          <c:h val="0.15199467726418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Australia!$AR$29</c:f>
              <c:strCache>
                <c:ptCount val="1"/>
                <c:pt idx="0">
                  <c:v>Construction &amp; Building Maintenance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Australia!$AS$28:$AT$28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Australia!$AS$29:$AT$29</c:f>
              <c:numCache>
                <c:formatCode>0.00%</c:formatCode>
                <c:ptCount val="2"/>
                <c:pt idx="0">
                  <c:v>0.40821818181818181</c:v>
                </c:pt>
                <c:pt idx="1">
                  <c:v>0.42120000000000002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6-9E4A-A810-C36172ADA1AE}"/>
            </c:ext>
          </c:extLst>
        </c:ser>
        <c:ser>
          <c:idx val="1"/>
          <c:order val="1"/>
          <c:tx>
            <c:strRef>
              <c:f>Australia!$AR$30</c:f>
              <c:strCache>
                <c:ptCount val="1"/>
                <c:pt idx="0">
                  <c:v>Utility &amp; Infrastructure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Australia!$AS$28:$AT$28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Australia!$AS$30:$AT$30</c:f>
              <c:numCache>
                <c:formatCode>0.00%</c:formatCode>
                <c:ptCount val="2"/>
                <c:pt idx="0">
                  <c:v>0.1374272727272727</c:v>
                </c:pt>
                <c:pt idx="1">
                  <c:v>0.13589999999999999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6-9E4A-A810-C36172ADA1AE}"/>
            </c:ext>
          </c:extLst>
        </c:ser>
        <c:ser>
          <c:idx val="2"/>
          <c:order val="2"/>
          <c:tx>
            <c:strRef>
              <c:f>Australia!$AR$31</c:f>
              <c:strCache>
                <c:ptCount val="1"/>
                <c:pt idx="0">
                  <c:v>Tree Care &amp; Landscaping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Australia!$AS$28:$AT$28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Australia!$AS$31:$AT$31</c:f>
              <c:numCache>
                <c:formatCode>0.00%</c:formatCode>
                <c:ptCount val="2"/>
                <c:pt idx="0">
                  <c:v>8.8581818181818178E-2</c:v>
                </c:pt>
                <c:pt idx="1">
                  <c:v>8.412E-2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16-9E4A-A810-C36172ADA1AE}"/>
            </c:ext>
          </c:extLst>
        </c:ser>
        <c:ser>
          <c:idx val="3"/>
          <c:order val="3"/>
          <c:tx>
            <c:strRef>
              <c:f>Australia!$AR$32</c:f>
              <c:strCache>
                <c:ptCount val="1"/>
                <c:pt idx="0">
                  <c:v>Mining &amp; Industrial Maintenance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Australia!$AS$28:$AT$28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Australia!$AS$32:$AT$32</c:f>
              <c:numCache>
                <c:formatCode>0.00%</c:formatCode>
                <c:ptCount val="2"/>
                <c:pt idx="0">
                  <c:v>0.18483636363636363</c:v>
                </c:pt>
                <c:pt idx="1">
                  <c:v>0.18679999999999999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16-9E4A-A810-C36172ADA1AE}"/>
            </c:ext>
          </c:extLst>
        </c:ser>
        <c:ser>
          <c:idx val="4"/>
          <c:order val="4"/>
          <c:tx>
            <c:strRef>
              <c:f>Australia!$AR$33</c:f>
              <c:strCache>
                <c:ptCount val="1"/>
                <c:pt idx="0">
                  <c:v>Facility Management &amp; Warehousing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Australia!$AS$28:$AT$28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Australia!$AS$33:$AT$33</c:f>
              <c:numCache>
                <c:formatCode>0.00%</c:formatCode>
                <c:ptCount val="2"/>
                <c:pt idx="0">
                  <c:v>0.11725454545454546</c:v>
                </c:pt>
                <c:pt idx="1">
                  <c:v>0.11360000000000001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16-9E4A-A810-C36172ADA1AE}"/>
            </c:ext>
          </c:extLst>
        </c:ser>
        <c:ser>
          <c:idx val="5"/>
          <c:order val="5"/>
          <c:tx>
            <c:strRef>
              <c:f>Australia!$AR$34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Australia!$AS$28:$AT$28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Australia!$AS$34:$AT$34</c:f>
              <c:numCache>
                <c:formatCode>0.00%</c:formatCode>
                <c:ptCount val="2"/>
                <c:pt idx="0">
                  <c:v>6.369090909090909E-2</c:v>
                </c:pt>
                <c:pt idx="1">
                  <c:v>5.8399999999999994E-2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16-9E4A-A810-C36172ADA1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7744909959269487"/>
          <c:w val="0.77263829119843597"/>
          <c:h val="0.15455827670214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Australia!$AR$41</c:f>
              <c:strCache>
                <c:ptCount val="1"/>
                <c:pt idx="0">
                  <c:v>Rental Companies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Australia!$AS$40:$AT$40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Australia!$AS$41:$AT$41</c:f>
              <c:numCache>
                <c:formatCode>0.00%</c:formatCode>
                <c:ptCount val="2"/>
                <c:pt idx="0">
                  <c:v>0.4248909090909091</c:v>
                </c:pt>
                <c:pt idx="1">
                  <c:v>0.42750909090909095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A-1349-9C68-638397C60333}"/>
            </c:ext>
          </c:extLst>
        </c:ser>
        <c:ser>
          <c:idx val="1"/>
          <c:order val="1"/>
          <c:tx>
            <c:strRef>
              <c:f>Australia!$AR$42</c:f>
              <c:strCache>
                <c:ptCount val="1"/>
                <c:pt idx="0">
                  <c:v>Contractors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Australia!$AS$40:$AT$40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Australia!$AS$42:$AT$42</c:f>
              <c:numCache>
                <c:formatCode>0.00%</c:formatCode>
                <c:ptCount val="2"/>
                <c:pt idx="0">
                  <c:v>0.27938181818181818</c:v>
                </c:pt>
                <c:pt idx="1">
                  <c:v>0.27901818181818178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A-1349-9C68-638397C60333}"/>
            </c:ext>
          </c:extLst>
        </c:ser>
        <c:ser>
          <c:idx val="2"/>
          <c:order val="2"/>
          <c:tx>
            <c:strRef>
              <c:f>Australia!$AR$43</c:f>
              <c:strCache>
                <c:ptCount val="1"/>
                <c:pt idx="0">
                  <c:v>Municipalities &amp; Public Sector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Australia!$AS$40:$AT$40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Australia!$AS$43:$AT$43</c:f>
              <c:numCache>
                <c:formatCode>0.00%</c:formatCode>
                <c:ptCount val="2"/>
                <c:pt idx="0">
                  <c:v>0.14124545454545456</c:v>
                </c:pt>
                <c:pt idx="1">
                  <c:v>0.14085454545454545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A-1349-9C68-638397C60333}"/>
            </c:ext>
          </c:extLst>
        </c:ser>
        <c:ser>
          <c:idx val="3"/>
          <c:order val="3"/>
          <c:tx>
            <c:strRef>
              <c:f>Australia!$AR$44</c:f>
              <c:strCache>
                <c:ptCount val="1"/>
                <c:pt idx="0">
                  <c:v>Facility Owners &amp; Property Managers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Australia!$AS$40:$AT$40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Australia!$AS$44:$AT$44</c:f>
              <c:numCache>
                <c:formatCode>0.00%</c:formatCode>
                <c:ptCount val="2"/>
                <c:pt idx="0">
                  <c:v>9.3327272727272745E-2</c:v>
                </c:pt>
                <c:pt idx="1">
                  <c:v>9.247272727272729E-2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BA-1349-9C68-638397C60333}"/>
            </c:ext>
          </c:extLst>
        </c:ser>
        <c:ser>
          <c:idx val="4"/>
          <c:order val="4"/>
          <c:tx>
            <c:strRef>
              <c:f>Australia!$AR$45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Australia!$AS$40:$AT$40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Australia!$AS$45:$AT$45</c:f>
              <c:numCache>
                <c:formatCode>0.00%</c:formatCode>
                <c:ptCount val="2"/>
                <c:pt idx="0">
                  <c:v>6.1154545454545448E-2</c:v>
                </c:pt>
                <c:pt idx="1">
                  <c:v>6.0145454545454537E-2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BA-1349-9C68-638397C603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7744909959269487"/>
          <c:w val="0.77165495559692454"/>
          <c:h val="0.15199467726418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Australia!$AR$52</c:f>
              <c:strCache>
                <c:ptCount val="1"/>
                <c:pt idx="0">
                  <c:v>Direct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Australia!$AS$51:$AT$51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Australia!$AS$52:$AT$52</c:f>
              <c:numCache>
                <c:formatCode>0.00%</c:formatCode>
                <c:ptCount val="2"/>
                <c:pt idx="0">
                  <c:v>0.16237272727272728</c:v>
                </c:pt>
                <c:pt idx="1">
                  <c:v>0.16030000000000003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9-7E42-97CA-CBA58E086082}"/>
            </c:ext>
          </c:extLst>
        </c:ser>
        <c:ser>
          <c:idx val="1"/>
          <c:order val="1"/>
          <c:tx>
            <c:strRef>
              <c:f>Australia!$AR$53</c:f>
              <c:strCache>
                <c:ptCount val="1"/>
                <c:pt idx="0">
                  <c:v>Dealer/Distributor Channel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Australia!$AS$51:$AT$51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Australia!$AS$53:$AT$53</c:f>
              <c:numCache>
                <c:formatCode>0.00%</c:formatCode>
                <c:ptCount val="2"/>
                <c:pt idx="0">
                  <c:v>0.39849090909090906</c:v>
                </c:pt>
                <c:pt idx="1">
                  <c:v>0.41179999999999994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9-7E42-97CA-CBA58E086082}"/>
            </c:ext>
          </c:extLst>
        </c:ser>
        <c:ser>
          <c:idx val="2"/>
          <c:order val="2"/>
          <c:tx>
            <c:strRef>
              <c:f>Australia!$AR$54</c:f>
              <c:strCache>
                <c:ptCount val="1"/>
                <c:pt idx="0">
                  <c:v>Rental &amp; Leasing Companies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Australia!$AS$51:$AT$51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Australia!$AS$54:$AT$54</c:f>
              <c:numCache>
                <c:formatCode>0.00%</c:formatCode>
                <c:ptCount val="2"/>
                <c:pt idx="0">
                  <c:v>0.27059999999999995</c:v>
                </c:pt>
                <c:pt idx="1">
                  <c:v>0.26819999999999994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9-7E42-97CA-CBA58E086082}"/>
            </c:ext>
          </c:extLst>
        </c:ser>
        <c:ser>
          <c:idx val="3"/>
          <c:order val="3"/>
          <c:tx>
            <c:strRef>
              <c:f>Australia!$AR$55</c:f>
              <c:strCache>
                <c:ptCount val="1"/>
                <c:pt idx="0">
                  <c:v>Export to Regional Markets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Australia!$AS$51:$AT$51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Australia!$AS$55:$AT$55</c:f>
              <c:numCache>
                <c:formatCode>0.00%</c:formatCode>
                <c:ptCount val="2"/>
                <c:pt idx="0">
                  <c:v>0.10780000000000001</c:v>
                </c:pt>
                <c:pt idx="1">
                  <c:v>0.1048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39-7E42-97CA-CBA58E086082}"/>
            </c:ext>
          </c:extLst>
        </c:ser>
        <c:ser>
          <c:idx val="4"/>
          <c:order val="4"/>
          <c:tx>
            <c:strRef>
              <c:f>Australia!$AR$56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Australia!$AS$51:$AT$51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Australia!$AS$56:$AT$56</c:f>
              <c:numCache>
                <c:formatCode>0.00%</c:formatCode>
                <c:ptCount val="2"/>
                <c:pt idx="0">
                  <c:v>6.0736363636363644E-2</c:v>
                </c:pt>
                <c:pt idx="1">
                  <c:v>5.4899999999999997E-2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39-7E42-97CA-CBA58E0860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7744909959269487"/>
          <c:w val="0.89120604706122342"/>
          <c:h val="9.9937259611220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80743066457351E-2"/>
          <c:y val="6.2620423892100194E-2"/>
          <c:w val="0.94243851386708533"/>
          <c:h val="0.669161926086429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Australia!$AR$63</c:f>
              <c:strCache>
                <c:ptCount val="1"/>
                <c:pt idx="0">
                  <c:v>New South Wales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Australia!$AS$62:$AT$62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Australia!$AS$63:$AT$63</c:f>
              <c:numCache>
                <c:formatCode>0.00%</c:formatCode>
                <c:ptCount val="2"/>
                <c:pt idx="0">
                  <c:v>0.38285454545454545</c:v>
                </c:pt>
                <c:pt idx="1">
                  <c:v>0.39179999999999998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3-3646-832F-D3959E561A42}"/>
            </c:ext>
          </c:extLst>
        </c:ser>
        <c:ser>
          <c:idx val="1"/>
          <c:order val="1"/>
          <c:tx>
            <c:strRef>
              <c:f>Australia!$AR$64</c:f>
              <c:strCache>
                <c:ptCount val="1"/>
                <c:pt idx="0">
                  <c:v>Victoria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Australia!$AS$62:$AT$62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Australia!$AS$64:$AT$64</c:f>
              <c:numCache>
                <c:formatCode>0.00%</c:formatCode>
                <c:ptCount val="2"/>
                <c:pt idx="0">
                  <c:v>0.22833636363636364</c:v>
                </c:pt>
                <c:pt idx="1">
                  <c:v>0.23089999999999999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3-3646-832F-D3959E561A42}"/>
            </c:ext>
          </c:extLst>
        </c:ser>
        <c:ser>
          <c:idx val="2"/>
          <c:order val="2"/>
          <c:tx>
            <c:strRef>
              <c:f>Australia!$AR$65</c:f>
              <c:strCache>
                <c:ptCount val="1"/>
                <c:pt idx="0">
                  <c:v>Queensland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Australia!$AS$62:$AT$62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Australia!$AS$65:$AT$65</c:f>
              <c:numCache>
                <c:formatCode>0.00%</c:formatCode>
                <c:ptCount val="2"/>
                <c:pt idx="0">
                  <c:v>0.16298181818181817</c:v>
                </c:pt>
                <c:pt idx="1">
                  <c:v>0.16139999999999999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3-3646-832F-D3959E561A42}"/>
            </c:ext>
          </c:extLst>
        </c:ser>
        <c:ser>
          <c:idx val="3"/>
          <c:order val="3"/>
          <c:tx>
            <c:strRef>
              <c:f>Australia!$AR$66</c:f>
              <c:strCache>
                <c:ptCount val="1"/>
                <c:pt idx="0">
                  <c:v>Western Australia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Australia!$AS$62:$AT$62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Australia!$AS$66:$AT$66</c:f>
              <c:numCache>
                <c:formatCode>0.00%</c:formatCode>
                <c:ptCount val="2"/>
                <c:pt idx="0">
                  <c:v>0.14335454545454546</c:v>
                </c:pt>
                <c:pt idx="1">
                  <c:v>0.14030000000000001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83-3646-832F-D3959E561A42}"/>
            </c:ext>
          </c:extLst>
        </c:ser>
        <c:ser>
          <c:idx val="4"/>
          <c:order val="4"/>
          <c:tx>
            <c:strRef>
              <c:f>Australia!$AR$67</c:f>
              <c:strCache>
                <c:ptCount val="1"/>
                <c:pt idx="0">
                  <c:v>South Australia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Australia!$AS$62:$AT$62</c:f>
              <c:numCache>
                <c:formatCode>General</c:formatCode>
                <c:ptCount val="2"/>
                <c:pt idx="0">
                  <c:v>2024</c:v>
                </c:pt>
                <c:pt idx="1">
                  <c:v>2030</c:v>
                </c:pt>
              </c:numCache>
            </c:numRef>
          </c:cat>
          <c:val>
            <c:numRef>
              <c:f>Australia!$AS$67:$AT$67</c:f>
              <c:numCache>
                <c:formatCode>0.00%</c:formatCode>
                <c:ptCount val="2"/>
                <c:pt idx="0">
                  <c:v>8.2472727272727267E-2</c:v>
                </c:pt>
                <c:pt idx="1">
                  <c:v>7.5600000000000001E-2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83-3646-832F-D3959E561A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12240"/>
        <c:axId val="158312632"/>
      </c:barChart>
      <c:catAx>
        <c:axId val="158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12632"/>
        <c:crosses val="autoZero"/>
        <c:auto val="1"/>
        <c:lblAlgn val="ctr"/>
        <c:lblOffset val="100"/>
        <c:noMultiLvlLbl val="0"/>
      </c:catAx>
      <c:valAx>
        <c:axId val="158312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8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91512814837023E-2"/>
          <c:y val="0.7744909959269487"/>
          <c:w val="0.8999999306147739"/>
          <c:h val="5.2057417652965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0</xdr:rowOff>
    </xdr:from>
    <xdr:to>
      <xdr:col>1</xdr:col>
      <xdr:colOff>5168472</xdr:colOff>
      <xdr:row>87</xdr:row>
      <xdr:rowOff>44521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89F896-0127-FC4A-BF33-89AE7AE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71</xdr:row>
      <xdr:rowOff>0</xdr:rowOff>
    </xdr:from>
    <xdr:to>
      <xdr:col>8</xdr:col>
      <xdr:colOff>102742</xdr:colOff>
      <xdr:row>87</xdr:row>
      <xdr:rowOff>44521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FEA3C9-472B-474A-A3F7-C78A36786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389466</xdr:colOff>
      <xdr:row>90</xdr:row>
      <xdr:rowOff>101599</xdr:rowOff>
    </xdr:from>
    <xdr:to>
      <xdr:col>16</xdr:col>
      <xdr:colOff>2218267</xdr:colOff>
      <xdr:row>106</xdr:row>
      <xdr:rowOff>146121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85A767F-21C9-AE46-A8E2-371E33C17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4255213</xdr:colOff>
      <xdr:row>87</xdr:row>
      <xdr:rowOff>44521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4336578-75D0-9B48-8FD9-08E30817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71</xdr:row>
      <xdr:rowOff>0</xdr:rowOff>
    </xdr:from>
    <xdr:to>
      <xdr:col>26</xdr:col>
      <xdr:colOff>245438</xdr:colOff>
      <xdr:row>87</xdr:row>
      <xdr:rowOff>44521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3BEAB66-C241-104A-87FE-9A7E4E005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70</xdr:row>
      <xdr:rowOff>0</xdr:rowOff>
    </xdr:from>
    <xdr:to>
      <xdr:col>29</xdr:col>
      <xdr:colOff>4098248</xdr:colOff>
      <xdr:row>86</xdr:row>
      <xdr:rowOff>44521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476E2C8-984C-DD40-8B85-B059239FB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127001</xdr:colOff>
      <xdr:row>0</xdr:row>
      <xdr:rowOff>70556</xdr:rowOff>
    </xdr:from>
    <xdr:to>
      <xdr:col>51</xdr:col>
      <xdr:colOff>733778</xdr:colOff>
      <xdr:row>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444FDB-1747-5B4B-AEF8-2A5ADBC70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56</xdr:col>
      <xdr:colOff>910693</xdr:colOff>
      <xdr:row>23</xdr:row>
      <xdr:rowOff>143284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077F33-3FB2-794F-8AD8-9692675A9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437444</xdr:colOff>
      <xdr:row>21</xdr:row>
      <xdr:rowOff>98778</xdr:rowOff>
    </xdr:from>
    <xdr:to>
      <xdr:col>52</xdr:col>
      <xdr:colOff>769583</xdr:colOff>
      <xdr:row>43</xdr:row>
      <xdr:rowOff>143283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72E25AD-7AF8-2142-A491-B700F67B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0</xdr:colOff>
      <xdr:row>25</xdr:row>
      <xdr:rowOff>0</xdr:rowOff>
    </xdr:from>
    <xdr:to>
      <xdr:col>57</xdr:col>
      <xdr:colOff>910694</xdr:colOff>
      <xdr:row>47</xdr:row>
      <xdr:rowOff>44505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B469166-B6DD-7042-979D-D6BC24D1E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0</xdr:colOff>
      <xdr:row>48</xdr:row>
      <xdr:rowOff>0</xdr:rowOff>
    </xdr:from>
    <xdr:to>
      <xdr:col>52</xdr:col>
      <xdr:colOff>910694</xdr:colOff>
      <xdr:row>70</xdr:row>
      <xdr:rowOff>44506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BB71B82-6182-E442-8885-18DF04300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0</xdr:colOff>
      <xdr:row>49</xdr:row>
      <xdr:rowOff>0</xdr:rowOff>
    </xdr:from>
    <xdr:to>
      <xdr:col>57</xdr:col>
      <xdr:colOff>910694</xdr:colOff>
      <xdr:row>71</xdr:row>
      <xdr:rowOff>44505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6A51974-BEF2-0D4B-BBB3-3381438A0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571B-C399-084F-AF4E-621EC7DF705E}">
  <sheetPr>
    <tabColor theme="5"/>
  </sheetPr>
  <dimension ref="A1:BA99"/>
  <sheetViews>
    <sheetView tabSelected="1" topLeftCell="A2" zoomScale="75" workbookViewId="0">
      <selection activeCell="C11" sqref="C11"/>
    </sheetView>
  </sheetViews>
  <sheetFormatPr baseColWidth="10" defaultColWidth="15.83203125" defaultRowHeight="15" x14ac:dyDescent="0.2"/>
  <cols>
    <col min="1" max="1" width="6.33203125" customWidth="1"/>
    <col min="2" max="2" width="67.33203125" customWidth="1"/>
    <col min="3" max="3" width="13.5" style="2" customWidth="1"/>
    <col min="4" max="14" width="10.6640625" style="2" customWidth="1"/>
    <col min="15" max="15" width="19" style="12" bestFit="1" customWidth="1"/>
    <col min="16" max="16" width="12" customWidth="1"/>
    <col min="17" max="17" width="57.6640625" customWidth="1"/>
    <col min="18" max="18" width="10.5" style="2" customWidth="1"/>
    <col min="19" max="19" width="9.6640625" style="2" customWidth="1"/>
    <col min="20" max="21" width="9.5" style="2" customWidth="1"/>
    <col min="22" max="22" width="9.1640625" style="2" bestFit="1" customWidth="1"/>
    <col min="23" max="23" width="8.83203125" style="2" customWidth="1"/>
    <col min="24" max="25" width="9.1640625" style="2" bestFit="1" customWidth="1"/>
    <col min="26" max="26" width="9.1640625" style="2" customWidth="1"/>
    <col min="27" max="27" width="8.83203125" style="2" customWidth="1"/>
    <col min="28" max="28" width="9.1640625" style="16" customWidth="1"/>
    <col min="29" max="29" width="14" style="6" customWidth="1"/>
    <col min="30" max="30" width="60.1640625" customWidth="1"/>
    <col min="31" max="31" width="9.33203125" style="2" customWidth="1"/>
    <col min="32" max="32" width="9.33203125" style="2" bestFit="1" customWidth="1"/>
    <col min="33" max="33" width="9.83203125" style="2" customWidth="1"/>
    <col min="34" max="40" width="9.33203125" style="2" bestFit="1" customWidth="1"/>
    <col min="41" max="41" width="9.1640625" style="2" bestFit="1" customWidth="1"/>
    <col min="42" max="42" width="8.83203125" style="2" customWidth="1"/>
    <col min="43" max="43" width="15" style="8" customWidth="1"/>
    <col min="44" max="44" width="36.1640625" style="11" customWidth="1"/>
    <col min="45" max="45" width="11.33203125" bestFit="1" customWidth="1"/>
    <col min="46" max="46" width="11.1640625" bestFit="1" customWidth="1"/>
    <col min="47" max="47" width="7" customWidth="1"/>
    <col min="48" max="48" width="7.6640625" customWidth="1"/>
  </cols>
  <sheetData>
    <row r="1" spans="1:48" x14ac:dyDescent="0.2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48" x14ac:dyDescent="0.2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48" ht="16" x14ac:dyDescent="0.2">
      <c r="A3" s="17"/>
      <c r="D3" s="18"/>
      <c r="F3" s="15"/>
      <c r="G3" s="15"/>
      <c r="H3" s="15"/>
      <c r="I3" s="15"/>
      <c r="J3" s="15"/>
      <c r="K3" s="15"/>
      <c r="L3" s="15"/>
      <c r="M3" s="15"/>
      <c r="N3" s="15"/>
    </row>
    <row r="4" spans="1:48" ht="15" customHeight="1" x14ac:dyDescent="0.2">
      <c r="B4" s="43" t="s">
        <v>8</v>
      </c>
      <c r="C4" s="19"/>
      <c r="D4" s="51" t="s">
        <v>1</v>
      </c>
      <c r="E4" s="51"/>
      <c r="F4" s="51"/>
      <c r="G4" s="51"/>
      <c r="H4" s="51"/>
      <c r="I4" s="51"/>
      <c r="J4" s="51"/>
      <c r="K4" s="51"/>
      <c r="L4" s="51"/>
      <c r="M4" s="51"/>
      <c r="N4" s="19"/>
      <c r="Q4" s="52" t="str">
        <f>B4</f>
        <v>Australia Elevating Work Platforms and Spider Lifts Market</v>
      </c>
      <c r="R4" s="20"/>
      <c r="S4" s="51" t="s">
        <v>2</v>
      </c>
      <c r="T4" s="51"/>
      <c r="U4" s="51"/>
      <c r="V4" s="51"/>
      <c r="W4" s="51"/>
      <c r="X4" s="51"/>
      <c r="Y4" s="51"/>
      <c r="Z4" s="51"/>
      <c r="AA4" s="51"/>
      <c r="AB4" s="51"/>
      <c r="AC4" s="38"/>
      <c r="AD4" s="52" t="str">
        <f>Q4</f>
        <v>Australia Elevating Work Platforms and Spider Lifts Market</v>
      </c>
      <c r="AE4" s="21"/>
      <c r="AF4" s="53" t="s">
        <v>0</v>
      </c>
      <c r="AG4" s="53"/>
      <c r="AH4" s="53"/>
      <c r="AI4" s="53"/>
      <c r="AJ4" s="53"/>
      <c r="AK4" s="53"/>
      <c r="AL4" s="53"/>
      <c r="AM4" s="53"/>
      <c r="AN4" s="53"/>
      <c r="AO4" s="53"/>
      <c r="AP4" s="53"/>
    </row>
    <row r="5" spans="1:48" x14ac:dyDescent="0.2">
      <c r="B5" s="43"/>
      <c r="C5" s="23">
        <v>2019</v>
      </c>
      <c r="D5" s="23">
        <v>2020</v>
      </c>
      <c r="E5" s="23">
        <v>2021</v>
      </c>
      <c r="F5" s="23">
        <v>2022</v>
      </c>
      <c r="G5" s="23">
        <v>2023</v>
      </c>
      <c r="H5" s="23">
        <v>2024</v>
      </c>
      <c r="I5" s="23">
        <v>2025</v>
      </c>
      <c r="J5" s="23">
        <v>2026</v>
      </c>
      <c r="K5" s="23">
        <v>2027</v>
      </c>
      <c r="L5" s="23">
        <v>2028</v>
      </c>
      <c r="M5" s="23">
        <v>2029</v>
      </c>
      <c r="N5" s="23">
        <v>2030</v>
      </c>
      <c r="O5" s="24" t="s">
        <v>3</v>
      </c>
      <c r="Q5" s="52"/>
      <c r="R5" s="23">
        <v>2020</v>
      </c>
      <c r="S5" s="23">
        <v>2021</v>
      </c>
      <c r="T5" s="23">
        <v>2022</v>
      </c>
      <c r="U5" s="23">
        <v>2023</v>
      </c>
      <c r="V5" s="23">
        <v>2024</v>
      </c>
      <c r="W5" s="23">
        <v>2025</v>
      </c>
      <c r="X5" s="23">
        <v>2026</v>
      </c>
      <c r="Y5" s="23">
        <v>2027</v>
      </c>
      <c r="Z5" s="23">
        <v>2028</v>
      </c>
      <c r="AA5" s="23">
        <v>2029</v>
      </c>
      <c r="AB5" s="23">
        <v>2030</v>
      </c>
      <c r="AC5" s="38"/>
      <c r="AD5" s="52"/>
      <c r="AE5" s="23">
        <v>2019</v>
      </c>
      <c r="AF5" s="23">
        <v>2020</v>
      </c>
      <c r="AG5" s="23">
        <v>2021</v>
      </c>
      <c r="AH5" s="23">
        <v>2022</v>
      </c>
      <c r="AI5" s="23">
        <v>2023</v>
      </c>
      <c r="AJ5" s="23">
        <v>2024</v>
      </c>
      <c r="AK5" s="23">
        <v>2025</v>
      </c>
      <c r="AL5" s="23">
        <v>2026</v>
      </c>
      <c r="AM5" s="23">
        <v>2027</v>
      </c>
      <c r="AN5" s="23">
        <v>2028</v>
      </c>
      <c r="AO5" s="23">
        <v>2029</v>
      </c>
      <c r="AP5" s="23">
        <v>2030</v>
      </c>
      <c r="AS5" s="22"/>
      <c r="AT5" s="9"/>
    </row>
    <row r="6" spans="1:48" ht="22" customHeight="1" x14ac:dyDescent="0.2">
      <c r="B6" s="43"/>
      <c r="E6" s="18"/>
      <c r="Q6" s="52"/>
      <c r="AD6" s="52"/>
      <c r="AE6" s="25"/>
      <c r="AG6" s="18"/>
      <c r="AQ6" s="26"/>
      <c r="AR6" s="27"/>
      <c r="AS6" s="23">
        <v>2024</v>
      </c>
      <c r="AT6" s="23">
        <v>2030</v>
      </c>
      <c r="AU6" s="28"/>
      <c r="AV6" s="28"/>
    </row>
    <row r="7" spans="1:48" x14ac:dyDescent="0.2">
      <c r="B7" s="29" t="s">
        <v>14</v>
      </c>
      <c r="C7" s="20">
        <v>625.3804174704253</v>
      </c>
      <c r="D7" s="20">
        <v>647.92832311482107</v>
      </c>
      <c r="E7" s="20">
        <v>674.8550391780243</v>
      </c>
      <c r="F7" s="20">
        <v>706.87654674559997</v>
      </c>
      <c r="G7" s="20">
        <v>744.27031606844218</v>
      </c>
      <c r="H7" s="20">
        <v>787.73570252683919</v>
      </c>
      <c r="I7" s="20">
        <v>838.15078748855694</v>
      </c>
      <c r="J7" s="20">
        <v>896.6537124552583</v>
      </c>
      <c r="K7" s="20">
        <v>964.08207163189365</v>
      </c>
      <c r="L7" s="20">
        <v>1041.8834948125875</v>
      </c>
      <c r="M7" s="20">
        <v>1131.6938520654326</v>
      </c>
      <c r="N7" s="20">
        <v>1235.6965170702458</v>
      </c>
      <c r="O7" s="14">
        <f>((N7/H7)^(1/7)-1)*100%</f>
        <v>6.6431689556592177E-2</v>
      </c>
      <c r="P7" s="4"/>
      <c r="Q7" s="29" t="str">
        <f>B7</f>
        <v>Equipment Type</v>
      </c>
      <c r="R7" s="20">
        <f>(D7/C7-1)*100</f>
        <v>3.6054703688354728</v>
      </c>
      <c r="S7" s="20">
        <f t="shared" ref="S7:AB11" si="0">(E7/D7-1)*100</f>
        <v>4.1558171023851731</v>
      </c>
      <c r="T7" s="20">
        <f t="shared" si="0"/>
        <v>4.7449460563527834</v>
      </c>
      <c r="U7" s="20">
        <f t="shared" si="0"/>
        <v>5.2899999999999947</v>
      </c>
      <c r="V7" s="20">
        <f t="shared" si="0"/>
        <v>5.8400000000000007</v>
      </c>
      <c r="W7" s="20">
        <f t="shared" si="0"/>
        <v>6.4000000000000057</v>
      </c>
      <c r="X7" s="20">
        <f t="shared" si="0"/>
        <v>6.9800000000000084</v>
      </c>
      <c r="Y7" s="20">
        <f t="shared" si="0"/>
        <v>7.5199999999999934</v>
      </c>
      <c r="Z7" s="20">
        <f t="shared" si="0"/>
        <v>8.07</v>
      </c>
      <c r="AA7" s="20">
        <f t="shared" si="0"/>
        <v>8.6200000000000045</v>
      </c>
      <c r="AB7" s="20">
        <f t="shared" si="0"/>
        <v>9.1900000000000084</v>
      </c>
      <c r="AD7" s="29" t="str">
        <f>Q7</f>
        <v>Equipment Type</v>
      </c>
      <c r="AE7" s="30">
        <v>1</v>
      </c>
      <c r="AF7" s="30">
        <v>1</v>
      </c>
      <c r="AG7" s="30">
        <v>1</v>
      </c>
      <c r="AH7" s="30">
        <v>1</v>
      </c>
      <c r="AI7" s="30">
        <v>1</v>
      </c>
      <c r="AJ7" s="30">
        <v>1</v>
      </c>
      <c r="AK7" s="30">
        <v>1</v>
      </c>
      <c r="AL7" s="30">
        <v>1</v>
      </c>
      <c r="AM7" s="30">
        <v>1</v>
      </c>
      <c r="AN7" s="30">
        <v>1</v>
      </c>
      <c r="AO7" s="30">
        <v>1</v>
      </c>
      <c r="AP7" s="30">
        <v>1</v>
      </c>
      <c r="AQ7" s="41"/>
      <c r="AR7" s="45" t="str">
        <f>AD8</f>
        <v>Spider Lifts</v>
      </c>
      <c r="AS7" s="42">
        <f>AJ8</f>
        <v>0.13694545454545454</v>
      </c>
      <c r="AT7" s="42">
        <f>AP8</f>
        <v>0.13519999999999999</v>
      </c>
      <c r="AU7" s="41"/>
    </row>
    <row r="8" spans="1:48" x14ac:dyDescent="0.2">
      <c r="B8" s="31" t="s">
        <v>9</v>
      </c>
      <c r="C8" s="13">
        <f>C$7*AE8</f>
        <v>86.552649777906865</v>
      </c>
      <c r="D8" s="13">
        <f t="shared" ref="D8:N8" si="1">D$7*AF8</f>
        <v>89.484791679639642</v>
      </c>
      <c r="E8" s="13">
        <f t="shared" si="1"/>
        <v>93.007294490353161</v>
      </c>
      <c r="F8" s="13">
        <f t="shared" si="1"/>
        <v>97.214803628794868</v>
      </c>
      <c r="G8" s="13">
        <f t="shared" si="1"/>
        <v>102.14095173972002</v>
      </c>
      <c r="H8" s="13">
        <f t="shared" si="1"/>
        <v>107.87682384422095</v>
      </c>
      <c r="I8" s="13">
        <f t="shared" si="1"/>
        <v>114.53711488661807</v>
      </c>
      <c r="J8" s="13">
        <f t="shared" si="1"/>
        <v>122.2709607893534</v>
      </c>
      <c r="K8" s="13">
        <f t="shared" si="1"/>
        <v>131.18527680169257</v>
      </c>
      <c r="L8" s="13">
        <f t="shared" si="1"/>
        <v>141.46883525928004</v>
      </c>
      <c r="M8" s="13">
        <f t="shared" si="1"/>
        <v>153.33422882893822</v>
      </c>
      <c r="N8" s="13">
        <f t="shared" si="1"/>
        <v>167.06616910789722</v>
      </c>
      <c r="O8" s="14">
        <f t="shared" ref="O8:O11" si="2">((N8/H8)^(1/7)-1)*100%</f>
        <v>6.4479236736011414E-2</v>
      </c>
      <c r="P8" s="4"/>
      <c r="Q8" s="48" t="str">
        <f>B8</f>
        <v>Spider Lifts</v>
      </c>
      <c r="R8" s="49">
        <f>(D8/C8-1)*100</f>
        <v>3.3876974411027438</v>
      </c>
      <c r="S8" s="49">
        <f t="shared" si="0"/>
        <v>3.9364262290784158</v>
      </c>
      <c r="T8" s="49">
        <f t="shared" si="0"/>
        <v>4.5238485448881871</v>
      </c>
      <c r="U8" s="49">
        <f t="shared" si="0"/>
        <v>5.0672818614489579</v>
      </c>
      <c r="V8" s="49">
        <f t="shared" si="0"/>
        <v>5.6156438791732821</v>
      </c>
      <c r="W8" s="49">
        <f t="shared" si="0"/>
        <v>6.1739776951672987</v>
      </c>
      <c r="X8" s="49">
        <f t="shared" si="0"/>
        <v>6.7522618414050051</v>
      </c>
      <c r="Y8" s="49">
        <f t="shared" si="0"/>
        <v>7.2906239999999789</v>
      </c>
      <c r="Z8" s="49">
        <f t="shared" si="0"/>
        <v>7.8389577765900498</v>
      </c>
      <c r="AA8" s="49">
        <f t="shared" si="0"/>
        <v>8.3872844134975857</v>
      </c>
      <c r="AB8" s="49">
        <f t="shared" si="0"/>
        <v>8.9555609232420998</v>
      </c>
      <c r="AC8" s="38"/>
      <c r="AD8" s="31" t="str">
        <f>B8</f>
        <v>Spider Lifts</v>
      </c>
      <c r="AE8" s="40">
        <v>0.1384</v>
      </c>
      <c r="AF8" s="40">
        <v>0.1381090909090909</v>
      </c>
      <c r="AG8" s="40">
        <v>0.13781818181818181</v>
      </c>
      <c r="AH8" s="40">
        <v>0.13752727272727272</v>
      </c>
      <c r="AI8" s="40">
        <v>0.13723636363636363</v>
      </c>
      <c r="AJ8" s="40">
        <v>0.13694545454545454</v>
      </c>
      <c r="AK8" s="40">
        <v>0.13665454545454545</v>
      </c>
      <c r="AL8" s="40">
        <v>0.13636363636363635</v>
      </c>
      <c r="AM8" s="40">
        <v>0.13607272727272726</v>
      </c>
      <c r="AN8" s="40">
        <v>0.13578181818181817</v>
      </c>
      <c r="AO8" s="40">
        <v>0.13549090909090908</v>
      </c>
      <c r="AP8" s="40">
        <v>0.13519999999999999</v>
      </c>
      <c r="AQ8" s="7"/>
      <c r="AR8" s="45" t="str">
        <f t="shared" ref="AR8:AR10" si="3">AD9</f>
        <v>Truck-Mounted Elevated Platforms</v>
      </c>
      <c r="AS8" s="42">
        <f t="shared" ref="AS8:AS10" si="4">AJ9</f>
        <v>8.0745454545454537E-2</v>
      </c>
      <c r="AT8" s="42">
        <f t="shared" ref="AT8:AT10" si="5">AP9</f>
        <v>7.7199999999999991E-2</v>
      </c>
      <c r="AU8" s="7"/>
    </row>
    <row r="9" spans="1:48" x14ac:dyDescent="0.2">
      <c r="B9" s="31" t="s">
        <v>10</v>
      </c>
      <c r="C9" s="13">
        <f t="shared" ref="C9:C13" si="6">C$7*AE9</f>
        <v>52.344340942274599</v>
      </c>
      <c r="D9" s="13">
        <f t="shared" ref="D9:D13" si="7">D$7*AF9</f>
        <v>53.848733908324483</v>
      </c>
      <c r="E9" s="13">
        <f t="shared" ref="E9:E13" si="8">E$7*AG9</f>
        <v>55.68781082380842</v>
      </c>
      <c r="F9" s="13">
        <f t="shared" ref="F9:F13" si="9">F$7*AH9</f>
        <v>57.912467629739517</v>
      </c>
      <c r="G9" s="13">
        <f t="shared" ref="G9:G13" si="10">G$7*AI9</f>
        <v>60.536241071494111</v>
      </c>
      <c r="H9" s="13">
        <f t="shared" ref="H9:H13" si="11">H$7*AJ9</f>
        <v>63.606077362212588</v>
      </c>
      <c r="I9" s="13">
        <f t="shared" ref="I9:I13" si="12">I$7*AK9</f>
        <v>67.181595393514598</v>
      </c>
      <c r="J9" s="13">
        <f t="shared" ref="J9:J13" si="13">J$7*AL9</f>
        <v>71.34102992189473</v>
      </c>
      <c r="K9" s="13">
        <f t="shared" ref="K9:K13" si="14">K$7*AM9</f>
        <v>76.136190511511444</v>
      </c>
      <c r="L9" s="13">
        <f t="shared" ref="L9:L13" si="15">L$7*AN9</f>
        <v>81.664722657037544</v>
      </c>
      <c r="M9" s="13">
        <f t="shared" ref="M9:M13" si="16">M$7*AO9</f>
        <v>88.035493564762788</v>
      </c>
      <c r="N9" s="13">
        <f t="shared" ref="N9:N13" si="17">N$7*AP9</f>
        <v>95.39577111782296</v>
      </c>
      <c r="O9" s="14">
        <f t="shared" si="2"/>
        <v>5.9612848312998956E-2</v>
      </c>
      <c r="P9" s="4"/>
      <c r="Q9" s="48" t="str">
        <f t="shared" ref="Q9:Q11" si="18">B9</f>
        <v>Truck-Mounted Elevated Platforms</v>
      </c>
      <c r="R9" s="49">
        <f t="shared" ref="R9:R11" si="19">(D9/C9-1)*100</f>
        <v>2.8740317271525706</v>
      </c>
      <c r="S9" s="49">
        <f t="shared" si="0"/>
        <v>3.4152649134052027</v>
      </c>
      <c r="T9" s="49">
        <f t="shared" si="0"/>
        <v>3.9948720788643088</v>
      </c>
      <c r="U9" s="49">
        <f t="shared" si="0"/>
        <v>4.5305847758544182</v>
      </c>
      <c r="V9" s="49">
        <f t="shared" si="0"/>
        <v>5.0710718676651334</v>
      </c>
      <c r="W9" s="49">
        <f t="shared" si="0"/>
        <v>5.6213465435712706</v>
      </c>
      <c r="X9" s="49">
        <f t="shared" si="0"/>
        <v>6.1913303844845391</v>
      </c>
      <c r="Y9" s="49">
        <f t="shared" si="0"/>
        <v>6.7214625228519065</v>
      </c>
      <c r="Z9" s="49">
        <f t="shared" si="0"/>
        <v>7.2613721653044916</v>
      </c>
      <c r="AA9" s="49">
        <f t="shared" si="0"/>
        <v>7.8011296682904296</v>
      </c>
      <c r="AB9" s="49">
        <f t="shared" si="0"/>
        <v>8.3605796423980259</v>
      </c>
      <c r="AC9" s="38"/>
      <c r="AD9" s="31" t="str">
        <f t="shared" ref="AD9:AD11" si="20">B9</f>
        <v>Truck-Mounted Elevated Platforms</v>
      </c>
      <c r="AE9" s="40">
        <v>8.3699999999999997E-2</v>
      </c>
      <c r="AF9" s="40">
        <v>8.3109090909090896E-2</v>
      </c>
      <c r="AG9" s="40">
        <v>8.251818181818181E-2</v>
      </c>
      <c r="AH9" s="40">
        <v>8.1927272727272724E-2</v>
      </c>
      <c r="AI9" s="40">
        <v>8.1336363636363637E-2</v>
      </c>
      <c r="AJ9" s="40">
        <v>8.0745454545454537E-2</v>
      </c>
      <c r="AK9" s="40">
        <v>8.0154545454545451E-2</v>
      </c>
      <c r="AL9" s="40">
        <v>7.9563636363636364E-2</v>
      </c>
      <c r="AM9" s="40">
        <v>7.8972727272727264E-2</v>
      </c>
      <c r="AN9" s="40">
        <v>7.8381818181818178E-2</v>
      </c>
      <c r="AO9" s="40">
        <v>7.7790909090909091E-2</v>
      </c>
      <c r="AP9" s="40">
        <v>7.7199999999999991E-2</v>
      </c>
      <c r="AQ9" s="7"/>
      <c r="AR9" s="45" t="str">
        <f t="shared" si="3"/>
        <v>Trailer-Mounted Platforms</v>
      </c>
      <c r="AS9" s="42">
        <f t="shared" si="4"/>
        <v>7.46E-2</v>
      </c>
      <c r="AT9" s="42">
        <f t="shared" si="5"/>
        <v>6.9800000000000001E-2</v>
      </c>
      <c r="AU9" s="7"/>
    </row>
    <row r="10" spans="1:48" x14ac:dyDescent="0.2">
      <c r="B10" s="33" t="s">
        <v>11</v>
      </c>
      <c r="C10" s="13">
        <f t="shared" si="6"/>
        <v>49.154900813175431</v>
      </c>
      <c r="D10" s="13">
        <f t="shared" si="7"/>
        <v>50.408823538333074</v>
      </c>
      <c r="E10" s="13">
        <f t="shared" si="8"/>
        <v>51.963838016707868</v>
      </c>
      <c r="F10" s="13">
        <f t="shared" si="9"/>
        <v>53.863992862014719</v>
      </c>
      <c r="G10" s="13">
        <f t="shared" si="10"/>
        <v>56.117981831560535</v>
      </c>
      <c r="H10" s="13">
        <f t="shared" si="11"/>
        <v>58.7650834085022</v>
      </c>
      <c r="I10" s="13">
        <f t="shared" si="12"/>
        <v>61.855528116655492</v>
      </c>
      <c r="J10" s="13">
        <f t="shared" si="13"/>
        <v>65.455721009233855</v>
      </c>
      <c r="K10" s="13">
        <f t="shared" si="14"/>
        <v>69.606725571822722</v>
      </c>
      <c r="L10" s="13">
        <f t="shared" si="15"/>
        <v>74.390481529618739</v>
      </c>
      <c r="M10" s="13">
        <f t="shared" si="16"/>
        <v>79.897585955819537</v>
      </c>
      <c r="N10" s="13">
        <f t="shared" si="17"/>
        <v>86.251616891503161</v>
      </c>
      <c r="O10" s="14">
        <f t="shared" si="2"/>
        <v>5.6347578699863954E-2</v>
      </c>
      <c r="P10" s="4"/>
      <c r="Q10" s="48" t="str">
        <f t="shared" si="18"/>
        <v>Trailer-Mounted Platforms</v>
      </c>
      <c r="R10" s="49">
        <f t="shared" si="19"/>
        <v>2.5509617645725013</v>
      </c>
      <c r="S10" s="49">
        <f t="shared" si="0"/>
        <v>3.0848061296100182</v>
      </c>
      <c r="T10" s="49">
        <f t="shared" si="0"/>
        <v>3.6566868765465221</v>
      </c>
      <c r="U10" s="49">
        <f t="shared" si="0"/>
        <v>4.1845931758530019</v>
      </c>
      <c r="V10" s="49">
        <f t="shared" si="0"/>
        <v>4.7170291777188345</v>
      </c>
      <c r="W10" s="49">
        <f t="shared" si="0"/>
        <v>5.2589812332439534</v>
      </c>
      <c r="X10" s="49">
        <f t="shared" si="0"/>
        <v>5.8203252032520636</v>
      </c>
      <c r="Y10" s="49">
        <f t="shared" si="0"/>
        <v>6.3416986301369827</v>
      </c>
      <c r="Z10" s="49">
        <f t="shared" si="0"/>
        <v>6.8725484764542877</v>
      </c>
      <c r="AA10" s="49">
        <f t="shared" si="0"/>
        <v>7.4029691876750903</v>
      </c>
      <c r="AB10" s="49">
        <f t="shared" si="0"/>
        <v>7.9527195467422152</v>
      </c>
      <c r="AC10" s="38"/>
      <c r="AD10" s="31" t="str">
        <f t="shared" si="20"/>
        <v>Trailer-Mounted Platforms</v>
      </c>
      <c r="AE10" s="40">
        <v>7.8600000000000003E-2</v>
      </c>
      <c r="AF10" s="40">
        <v>7.7799999999999994E-2</v>
      </c>
      <c r="AG10" s="40">
        <v>7.6999999999999999E-2</v>
      </c>
      <c r="AH10" s="40">
        <v>7.6200000000000004E-2</v>
      </c>
      <c r="AI10" s="40">
        <v>7.5399999999999995E-2</v>
      </c>
      <c r="AJ10" s="40">
        <v>7.46E-2</v>
      </c>
      <c r="AK10" s="40">
        <v>7.3799999999999991E-2</v>
      </c>
      <c r="AL10" s="40">
        <v>7.2999999999999995E-2</v>
      </c>
      <c r="AM10" s="40">
        <v>7.22E-2</v>
      </c>
      <c r="AN10" s="40">
        <v>7.1399999999999991E-2</v>
      </c>
      <c r="AO10" s="40">
        <v>7.0599999999999996E-2</v>
      </c>
      <c r="AP10" s="40">
        <v>6.9800000000000001E-2</v>
      </c>
      <c r="AQ10" s="7"/>
      <c r="AR10" s="45" t="str">
        <f t="shared" si="3"/>
        <v>Self-Propelled Aerial Work Platforms</v>
      </c>
      <c r="AS10" s="42">
        <f t="shared" si="4"/>
        <v>0.45874545454545457</v>
      </c>
      <c r="AT10" s="42">
        <f t="shared" si="5"/>
        <v>0.47260000000000002</v>
      </c>
      <c r="AU10" s="42"/>
    </row>
    <row r="11" spans="1:48" x14ac:dyDescent="0.2">
      <c r="B11" s="31" t="s">
        <v>12</v>
      </c>
      <c r="C11" s="13">
        <f t="shared" si="6"/>
        <v>279.67012269277421</v>
      </c>
      <c r="D11" s="13">
        <f t="shared" si="7"/>
        <v>291.24967149759487</v>
      </c>
      <c r="E11" s="13">
        <f t="shared" si="8"/>
        <v>304.91177679225279</v>
      </c>
      <c r="F11" s="13">
        <f t="shared" si="9"/>
        <v>321.01191832845183</v>
      </c>
      <c r="G11" s="13">
        <f t="shared" si="10"/>
        <v>339.71203662876678</v>
      </c>
      <c r="H11" s="13">
        <f t="shared" si="11"/>
        <v>361.37017291735782</v>
      </c>
      <c r="I11" s="13">
        <f t="shared" si="12"/>
        <v>386.43323034790592</v>
      </c>
      <c r="J11" s="13">
        <f t="shared" si="13"/>
        <v>415.47672476222289</v>
      </c>
      <c r="K11" s="13">
        <f t="shared" si="14"/>
        <v>448.94672761156477</v>
      </c>
      <c r="L11" s="13">
        <f t="shared" si="15"/>
        <v>487.58253223602162</v>
      </c>
      <c r="M11" s="13">
        <f t="shared" si="16"/>
        <v>532.22533050044512</v>
      </c>
      <c r="N11" s="13">
        <f t="shared" si="17"/>
        <v>583.99017396739816</v>
      </c>
      <c r="O11" s="14">
        <f t="shared" si="2"/>
        <v>7.0974261781199255E-2</v>
      </c>
      <c r="P11" s="4"/>
      <c r="Q11" s="48" t="str">
        <f t="shared" si="18"/>
        <v>Self-Propelled Aerial Work Platforms</v>
      </c>
      <c r="R11" s="49">
        <f t="shared" si="19"/>
        <v>4.1404311241144409</v>
      </c>
      <c r="S11" s="49">
        <f t="shared" si="0"/>
        <v>4.6908568941581574</v>
      </c>
      <c r="T11" s="49">
        <f t="shared" si="0"/>
        <v>5.2802622796588983</v>
      </c>
      <c r="U11" s="49">
        <f t="shared" si="0"/>
        <v>5.8253657364775613</v>
      </c>
      <c r="V11" s="49">
        <f t="shared" si="0"/>
        <v>6.3754397705544807</v>
      </c>
      <c r="W11" s="49">
        <f t="shared" si="0"/>
        <v>6.935563394237243</v>
      </c>
      <c r="X11" s="49">
        <f t="shared" si="0"/>
        <v>7.5157859452638531</v>
      </c>
      <c r="Y11" s="49">
        <f t="shared" si="0"/>
        <v>8.0558069452619119</v>
      </c>
      <c r="Z11" s="49">
        <f t="shared" si="0"/>
        <v>8.6058773231297856</v>
      </c>
      <c r="AA11" s="49">
        <f t="shared" si="0"/>
        <v>9.1559470064882298</v>
      </c>
      <c r="AB11" s="49">
        <f t="shared" si="0"/>
        <v>9.726114203974312</v>
      </c>
      <c r="AC11" s="38"/>
      <c r="AD11" s="31" t="str">
        <f t="shared" si="20"/>
        <v>Self-Propelled Aerial Work Platforms</v>
      </c>
      <c r="AE11" s="40">
        <v>0.44719999999999999</v>
      </c>
      <c r="AF11" s="40">
        <v>0.44950909090909086</v>
      </c>
      <c r="AG11" s="40">
        <v>0.45181818181818179</v>
      </c>
      <c r="AH11" s="40">
        <v>0.45412727272727271</v>
      </c>
      <c r="AI11" s="40">
        <v>0.45643636363636364</v>
      </c>
      <c r="AJ11" s="40">
        <v>0.45874545454545457</v>
      </c>
      <c r="AK11" s="40">
        <v>0.46105454545454544</v>
      </c>
      <c r="AL11" s="40">
        <v>0.46336363636363637</v>
      </c>
      <c r="AM11" s="40">
        <v>0.46567272727272729</v>
      </c>
      <c r="AN11" s="40">
        <v>0.46798181818181817</v>
      </c>
      <c r="AO11" s="40">
        <v>0.47029090909090909</v>
      </c>
      <c r="AP11" s="40">
        <v>0.47260000000000002</v>
      </c>
      <c r="AQ11" s="26"/>
      <c r="AR11" s="45" t="str">
        <f t="shared" ref="AR11:AR12" si="21">AD12</f>
        <v>Vertical Mast Lifts</v>
      </c>
      <c r="AS11" s="42">
        <f t="shared" ref="AS11:AS12" si="22">AJ12</f>
        <v>0.19048181818181817</v>
      </c>
      <c r="AT11" s="42">
        <f t="shared" ref="AT11:AT12" si="23">AP12</f>
        <v>0.19309999999999999</v>
      </c>
      <c r="AU11" s="2"/>
    </row>
    <row r="12" spans="1:48" x14ac:dyDescent="0.2">
      <c r="B12" s="31" t="s">
        <v>13</v>
      </c>
      <c r="C12" s="13">
        <f t="shared" si="6"/>
        <v>117.75913260968106</v>
      </c>
      <c r="D12" s="13">
        <f t="shared" si="7"/>
        <v>122.28763560169817</v>
      </c>
      <c r="E12" s="13">
        <f t="shared" si="8"/>
        <v>127.66416827505005</v>
      </c>
      <c r="F12" s="13">
        <f t="shared" si="9"/>
        <v>134.03021941339071</v>
      </c>
      <c r="G12" s="13">
        <f t="shared" si="10"/>
        <v>141.4451905219162</v>
      </c>
      <c r="H12" s="13">
        <f t="shared" si="11"/>
        <v>150.04932886404418</v>
      </c>
      <c r="I12" s="13">
        <f t="shared" si="12"/>
        <v>160.01822443679256</v>
      </c>
      <c r="J12" s="13">
        <f t="shared" si="13"/>
        <v>171.57876357700664</v>
      </c>
      <c r="K12" s="13">
        <f t="shared" si="14"/>
        <v>184.9021769565278</v>
      </c>
      <c r="L12" s="13">
        <f t="shared" si="15"/>
        <v>200.2784227073833</v>
      </c>
      <c r="M12" s="13">
        <f t="shared" si="16"/>
        <v>218.03625278929735</v>
      </c>
      <c r="N12" s="13">
        <f t="shared" si="17"/>
        <v>238.61299744626447</v>
      </c>
      <c r="O12" s="14">
        <f t="shared" ref="O12" si="24">((N12/H12)^(1/7)-1)*100%</f>
        <v>6.8513480342550448E-2</v>
      </c>
      <c r="P12" s="4"/>
      <c r="Q12" s="48" t="str">
        <f t="shared" ref="Q12" si="25">B12</f>
        <v>Vertical Mast Lifts</v>
      </c>
      <c r="R12" s="49">
        <f t="shared" ref="R12" si="26">(D12/C12-1)*100</f>
        <v>3.8455641542699537</v>
      </c>
      <c r="S12" s="49">
        <f t="shared" ref="S12" si="27">(E12/D12-1)*100</f>
        <v>4.3966282011238755</v>
      </c>
      <c r="T12" s="49">
        <f t="shared" ref="T12" si="28">(F12/E12-1)*100</f>
        <v>4.9865606178744804</v>
      </c>
      <c r="U12" s="49">
        <f t="shared" ref="U12" si="29">(G12/F12-1)*100</f>
        <v>5.5323128925540477</v>
      </c>
      <c r="V12" s="49">
        <f t="shared" ref="V12" si="30">(H12/G12-1)*100</f>
        <v>6.083019373355647</v>
      </c>
      <c r="W12" s="49">
        <f t="shared" ref="W12" si="31">(I12/H12-1)*100</f>
        <v>6.643745525700373</v>
      </c>
      <c r="X12" s="49">
        <f t="shared" ref="X12" si="32">(J12/I12-1)*100</f>
        <v>7.2245140707585476</v>
      </c>
      <c r="Y12" s="49">
        <f t="shared" ref="Y12" si="33">(K12/J12-1)*100</f>
        <v>7.7651878949118514</v>
      </c>
      <c r="Z12" s="49">
        <f t="shared" ref="Z12" si="34">(L12/K12-1)*100</f>
        <v>8.3158814049391072</v>
      </c>
      <c r="AA12" s="49">
        <f t="shared" ref="AA12" si="35">(M12/L12-1)*100</f>
        <v>8.8665717663750208</v>
      </c>
      <c r="AB12" s="49">
        <f t="shared" ref="AB12" si="36">(N12/M12-1)*100</f>
        <v>9.4373042985891775</v>
      </c>
      <c r="AC12" s="38"/>
      <c r="AD12" s="31" t="str">
        <f t="shared" ref="AD12" si="37">B12</f>
        <v>Vertical Mast Lifts</v>
      </c>
      <c r="AE12" s="40">
        <v>0.18829999999999997</v>
      </c>
      <c r="AF12" s="40">
        <v>0.18873636363636362</v>
      </c>
      <c r="AG12" s="40">
        <v>0.18917272727272724</v>
      </c>
      <c r="AH12" s="40">
        <v>0.18960909090909089</v>
      </c>
      <c r="AI12" s="40">
        <v>0.19004545454545452</v>
      </c>
      <c r="AJ12" s="40">
        <v>0.19048181818181817</v>
      </c>
      <c r="AK12" s="40">
        <v>0.19091818181818179</v>
      </c>
      <c r="AL12" s="40">
        <v>0.19135454545454544</v>
      </c>
      <c r="AM12" s="40">
        <v>0.19179090909090907</v>
      </c>
      <c r="AN12" s="40">
        <v>0.19222727272727272</v>
      </c>
      <c r="AO12" s="40">
        <v>0.19266363636363634</v>
      </c>
      <c r="AP12" s="40">
        <v>0.19309999999999999</v>
      </c>
      <c r="AQ12" s="26"/>
      <c r="AR12" s="45" t="str">
        <f t="shared" si="21"/>
        <v>Others</v>
      </c>
      <c r="AS12" s="42">
        <f t="shared" si="22"/>
        <v>5.8481818181818176E-2</v>
      </c>
      <c r="AT12" s="42">
        <f t="shared" si="23"/>
        <v>5.21E-2</v>
      </c>
      <c r="AU12" s="2"/>
    </row>
    <row r="13" spans="1:48" x14ac:dyDescent="0.2">
      <c r="B13" s="31" t="s">
        <v>5</v>
      </c>
      <c r="C13" s="13">
        <f t="shared" si="6"/>
        <v>39.899270634613131</v>
      </c>
      <c r="D13" s="13">
        <f t="shared" si="7"/>
        <v>40.648666889230725</v>
      </c>
      <c r="E13" s="13">
        <f t="shared" si="8"/>
        <v>41.620150779851969</v>
      </c>
      <c r="F13" s="13">
        <f t="shared" si="9"/>
        <v>42.843144883208318</v>
      </c>
      <c r="G13" s="13">
        <f t="shared" si="10"/>
        <v>44.31791427498451</v>
      </c>
      <c r="H13" s="13">
        <f t="shared" si="11"/>
        <v>46.068216130501419</v>
      </c>
      <c r="I13" s="13">
        <f t="shared" si="12"/>
        <v>48.125094307070235</v>
      </c>
      <c r="J13" s="13">
        <f t="shared" si="13"/>
        <v>50.530512395546786</v>
      </c>
      <c r="K13" s="13">
        <f t="shared" si="14"/>
        <v>53.304974178774337</v>
      </c>
      <c r="L13" s="13">
        <f t="shared" si="15"/>
        <v>56.498500423246227</v>
      </c>
      <c r="M13" s="13">
        <f t="shared" si="16"/>
        <v>60.164960426169543</v>
      </c>
      <c r="N13" s="13">
        <f t="shared" si="17"/>
        <v>64.379788539359808</v>
      </c>
      <c r="O13" s="14">
        <f t="shared" ref="O13" si="38">((N13/H13)^(1/7)-1)*100%</f>
        <v>4.8972303475721013E-2</v>
      </c>
      <c r="P13" s="4"/>
      <c r="Q13" s="48" t="str">
        <f t="shared" ref="Q13" si="39">B13</f>
        <v>Others</v>
      </c>
      <c r="R13" s="49">
        <f t="shared" ref="R13" si="40">(D13/C13-1)*100</f>
        <v>1.8782204353567478</v>
      </c>
      <c r="S13" s="49">
        <f t="shared" ref="S13" si="41">(E13/D13-1)*100</f>
        <v>2.3899526478164068</v>
      </c>
      <c r="T13" s="49">
        <f t="shared" ref="T13" si="42">(F13/E13-1)*100</f>
        <v>2.9384662968313657</v>
      </c>
      <c r="U13" s="49">
        <f t="shared" ref="U13" si="43">(G13/F13-1)*100</f>
        <v>3.4422528873556235</v>
      </c>
      <c r="V13" s="49">
        <f t="shared" ref="V13" si="44">(H13/G13-1)*100</f>
        <v>3.9494229007633441</v>
      </c>
      <c r="W13" s="49">
        <f t="shared" ref="W13" si="45">(I13/H13-1)*100</f>
        <v>4.464853101196975</v>
      </c>
      <c r="X13" s="49">
        <f t="shared" ref="X13" si="46">(J13/I13-1)*100</f>
        <v>4.9982615579480694</v>
      </c>
      <c r="Y13" s="49">
        <f t="shared" ref="Y13" si="47">(K13/J13-1)*100</f>
        <v>5.4906662364897496</v>
      </c>
      <c r="Z13" s="49">
        <f t="shared" ref="Z13" si="48">(L13/K13-1)*100</f>
        <v>5.9910473528444808</v>
      </c>
      <c r="AA13" s="49">
        <f t="shared" ref="AA13" si="49">(M13/L13-1)*100</f>
        <v>6.4894819782062019</v>
      </c>
      <c r="AB13" s="49">
        <f t="shared" ref="AB13" si="50">(N13/M13-1)*100</f>
        <v>7.0054531463748182</v>
      </c>
      <c r="AC13" s="38"/>
      <c r="AD13" s="31" t="str">
        <f t="shared" ref="AD13" si="51">B13</f>
        <v>Others</v>
      </c>
      <c r="AE13" s="40">
        <v>6.3799999999999996E-2</v>
      </c>
      <c r="AF13" s="40">
        <v>6.2736363636363632E-2</v>
      </c>
      <c r="AG13" s="40">
        <v>6.1672727272727268E-2</v>
      </c>
      <c r="AH13" s="40">
        <v>6.0609090909090904E-2</v>
      </c>
      <c r="AI13" s="40">
        <v>5.954545454545454E-2</v>
      </c>
      <c r="AJ13" s="40">
        <v>5.8481818181818176E-2</v>
      </c>
      <c r="AK13" s="40">
        <v>5.741818181818182E-2</v>
      </c>
      <c r="AL13" s="40">
        <v>5.6354545454545456E-2</v>
      </c>
      <c r="AM13" s="40">
        <v>5.5290909090909092E-2</v>
      </c>
      <c r="AN13" s="40">
        <v>5.4227272727272728E-2</v>
      </c>
      <c r="AO13" s="40">
        <v>5.3163636363636364E-2</v>
      </c>
      <c r="AP13" s="40">
        <v>5.21E-2</v>
      </c>
      <c r="AQ13" s="26"/>
      <c r="AR13" s="46"/>
      <c r="AU13" s="2"/>
    </row>
    <row r="14" spans="1:48" x14ac:dyDescent="0.2">
      <c r="B14" s="3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4"/>
      <c r="Q14" s="44"/>
      <c r="R14" s="9"/>
      <c r="S14" s="5"/>
      <c r="T14" s="5"/>
      <c r="U14" s="5"/>
      <c r="V14" s="5"/>
      <c r="W14" s="5"/>
      <c r="X14" s="5"/>
      <c r="Y14" s="5"/>
      <c r="Z14" s="5"/>
      <c r="AA14" s="5"/>
      <c r="AB14" s="5"/>
      <c r="AC14" s="38"/>
      <c r="AD14" s="31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26"/>
      <c r="AR14" s="46"/>
      <c r="AU14" s="2"/>
    </row>
    <row r="15" spans="1:48" ht="14" customHeight="1" x14ac:dyDescent="0.2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4"/>
      <c r="Q15" s="3"/>
      <c r="R15" s="37"/>
      <c r="S15" s="5"/>
      <c r="T15" s="5"/>
      <c r="U15" s="5"/>
      <c r="V15" s="5"/>
      <c r="W15" s="5"/>
      <c r="X15" s="5"/>
      <c r="Y15" s="5"/>
      <c r="Z15" s="5"/>
      <c r="AA15" s="5"/>
      <c r="AB15" s="5"/>
      <c r="AD15" s="31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R15" s="31"/>
      <c r="AS15" s="23"/>
      <c r="AT15" s="23"/>
    </row>
    <row r="16" spans="1:48" ht="15" customHeight="1" x14ac:dyDescent="0.2">
      <c r="B16" s="43" t="str">
        <f>B4</f>
        <v>Australia Elevating Work Platforms and Spider Lifts Market</v>
      </c>
      <c r="C16" s="19"/>
      <c r="D16" s="51" t="s">
        <v>1</v>
      </c>
      <c r="E16" s="51"/>
      <c r="F16" s="51"/>
      <c r="G16" s="51"/>
      <c r="H16" s="51"/>
      <c r="I16" s="51"/>
      <c r="J16" s="51"/>
      <c r="K16" s="51"/>
      <c r="L16" s="51"/>
      <c r="M16" s="51"/>
      <c r="N16" s="19"/>
      <c r="Q16" s="52" t="str">
        <f>B16</f>
        <v>Australia Elevating Work Platforms and Spider Lifts Market</v>
      </c>
      <c r="R16" s="20"/>
      <c r="S16" s="51" t="s">
        <v>2</v>
      </c>
      <c r="T16" s="51"/>
      <c r="U16" s="51"/>
      <c r="V16" s="51"/>
      <c r="W16" s="51"/>
      <c r="X16" s="51"/>
      <c r="Y16" s="51"/>
      <c r="Z16" s="51"/>
      <c r="AA16" s="51"/>
      <c r="AB16" s="51"/>
      <c r="AC16" s="38"/>
      <c r="AD16" s="52" t="str">
        <f>Q16</f>
        <v>Australia Elevating Work Platforms and Spider Lifts Market</v>
      </c>
      <c r="AE16" s="21"/>
      <c r="AF16" s="53" t="s">
        <v>0</v>
      </c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R16" s="46"/>
      <c r="AS16" s="23">
        <v>2024</v>
      </c>
      <c r="AT16" s="23">
        <v>2030</v>
      </c>
    </row>
    <row r="17" spans="2:53" x14ac:dyDescent="0.2">
      <c r="B17" s="43"/>
      <c r="C17" s="23">
        <v>2019</v>
      </c>
      <c r="D17" s="23">
        <v>2020</v>
      </c>
      <c r="E17" s="23">
        <v>2021</v>
      </c>
      <c r="F17" s="23">
        <v>2022</v>
      </c>
      <c r="G17" s="23">
        <v>2023</v>
      </c>
      <c r="H17" s="23">
        <v>2024</v>
      </c>
      <c r="I17" s="23">
        <v>2025</v>
      </c>
      <c r="J17" s="23">
        <v>2026</v>
      </c>
      <c r="K17" s="23">
        <v>2027</v>
      </c>
      <c r="L17" s="23">
        <v>2028</v>
      </c>
      <c r="M17" s="23">
        <v>2029</v>
      </c>
      <c r="N17" s="23">
        <v>2030</v>
      </c>
      <c r="O17" s="24" t="s">
        <v>3</v>
      </c>
      <c r="Q17" s="52"/>
      <c r="R17" s="23">
        <v>2020</v>
      </c>
      <c r="S17" s="23">
        <v>2021</v>
      </c>
      <c r="T17" s="23">
        <v>2022</v>
      </c>
      <c r="U17" s="23">
        <v>2023</v>
      </c>
      <c r="V17" s="23">
        <v>2024</v>
      </c>
      <c r="W17" s="23">
        <v>2025</v>
      </c>
      <c r="X17" s="23">
        <v>2026</v>
      </c>
      <c r="Y17" s="23">
        <v>2027</v>
      </c>
      <c r="Z17" s="23">
        <v>2028</v>
      </c>
      <c r="AA17" s="23">
        <v>2029</v>
      </c>
      <c r="AB17" s="23">
        <v>2030</v>
      </c>
      <c r="AC17" s="38"/>
      <c r="AD17" s="52"/>
      <c r="AE17" s="23">
        <v>2019</v>
      </c>
      <c r="AF17" s="23">
        <v>2020</v>
      </c>
      <c r="AG17" s="23">
        <v>2021</v>
      </c>
      <c r="AH17" s="23">
        <v>2022</v>
      </c>
      <c r="AI17" s="23">
        <v>2023</v>
      </c>
      <c r="AJ17" s="23">
        <v>2024</v>
      </c>
      <c r="AK17" s="23">
        <v>2025</v>
      </c>
      <c r="AL17" s="23">
        <v>2026</v>
      </c>
      <c r="AM17" s="23">
        <v>2027</v>
      </c>
      <c r="AN17" s="23">
        <v>2028</v>
      </c>
      <c r="AO17" s="23">
        <v>2029</v>
      </c>
      <c r="AP17" s="23">
        <v>2030</v>
      </c>
      <c r="AR17" s="31" t="str">
        <f>AD20</f>
        <v>Diesel-Powered</v>
      </c>
      <c r="AS17" s="39">
        <f>AJ20</f>
        <v>0.48285454545454543</v>
      </c>
      <c r="AT17" s="39">
        <f>AP20</f>
        <v>0.48759999999999992</v>
      </c>
    </row>
    <row r="18" spans="2:53" x14ac:dyDescent="0.2">
      <c r="B18" s="43"/>
      <c r="E18" s="18"/>
      <c r="Q18" s="52"/>
      <c r="AD18" s="52"/>
      <c r="AE18" s="25"/>
      <c r="AG18" s="18"/>
      <c r="AQ18" s="26"/>
      <c r="AR18" s="31" t="str">
        <f t="shared" ref="AR18:AR19" si="52">AD21</f>
        <v>Hybrid / Electric-Powered</v>
      </c>
      <c r="AS18" s="39">
        <f t="shared" ref="AS18:AS19" si="53">AJ21</f>
        <v>0.31396363636363639</v>
      </c>
      <c r="AT18" s="39">
        <f t="shared" ref="AT18:AT19" si="54">AP21</f>
        <v>0.31680000000000008</v>
      </c>
      <c r="AU18" s="28"/>
      <c r="AV18" s="28"/>
    </row>
    <row r="19" spans="2:53" x14ac:dyDescent="0.2">
      <c r="B19" s="29" t="s">
        <v>15</v>
      </c>
      <c r="C19" s="20">
        <f>C7</f>
        <v>625.3804174704253</v>
      </c>
      <c r="D19" s="20">
        <f t="shared" ref="D19:N19" si="55">D7</f>
        <v>647.92832311482107</v>
      </c>
      <c r="E19" s="20">
        <f t="shared" si="55"/>
        <v>674.8550391780243</v>
      </c>
      <c r="F19" s="20">
        <f t="shared" si="55"/>
        <v>706.87654674559997</v>
      </c>
      <c r="G19" s="20">
        <f t="shared" si="55"/>
        <v>744.27031606844218</v>
      </c>
      <c r="H19" s="20">
        <f t="shared" si="55"/>
        <v>787.73570252683919</v>
      </c>
      <c r="I19" s="20">
        <f t="shared" si="55"/>
        <v>838.15078748855694</v>
      </c>
      <c r="J19" s="20">
        <f t="shared" si="55"/>
        <v>896.6537124552583</v>
      </c>
      <c r="K19" s="20">
        <f t="shared" si="55"/>
        <v>964.08207163189365</v>
      </c>
      <c r="L19" s="20">
        <f t="shared" si="55"/>
        <v>1041.8834948125875</v>
      </c>
      <c r="M19" s="20">
        <f t="shared" si="55"/>
        <v>1131.6938520654326</v>
      </c>
      <c r="N19" s="20">
        <f t="shared" si="55"/>
        <v>1235.6965170702458</v>
      </c>
      <c r="O19" s="14">
        <f>((N19/H19)^(1/7)-1)*100%</f>
        <v>6.6431689556592177E-2</v>
      </c>
      <c r="P19" s="4"/>
      <c r="Q19" s="29" t="str">
        <f>B19</f>
        <v>Power Source</v>
      </c>
      <c r="R19" s="20">
        <f t="shared" ref="R19:AB22" si="56">(D19/C19-1)*100</f>
        <v>3.6054703688354728</v>
      </c>
      <c r="S19" s="20">
        <f t="shared" si="56"/>
        <v>4.1558171023851731</v>
      </c>
      <c r="T19" s="20">
        <f t="shared" si="56"/>
        <v>4.7449460563527834</v>
      </c>
      <c r="U19" s="20">
        <f t="shared" si="56"/>
        <v>5.2899999999999947</v>
      </c>
      <c r="V19" s="20">
        <f t="shared" si="56"/>
        <v>5.8400000000000007</v>
      </c>
      <c r="W19" s="20">
        <f t="shared" si="56"/>
        <v>6.4000000000000057</v>
      </c>
      <c r="X19" s="20">
        <f t="shared" si="56"/>
        <v>6.9800000000000084</v>
      </c>
      <c r="Y19" s="20">
        <f t="shared" si="56"/>
        <v>7.5199999999999934</v>
      </c>
      <c r="Z19" s="20">
        <f t="shared" si="56"/>
        <v>8.07</v>
      </c>
      <c r="AA19" s="20">
        <f t="shared" si="56"/>
        <v>8.6200000000000045</v>
      </c>
      <c r="AB19" s="20">
        <f t="shared" si="56"/>
        <v>9.1900000000000084</v>
      </c>
      <c r="AD19" s="29" t="str">
        <f>Q19</f>
        <v>Power Source</v>
      </c>
      <c r="AE19" s="30">
        <v>1</v>
      </c>
      <c r="AF19" s="30">
        <v>1</v>
      </c>
      <c r="AG19" s="30">
        <v>1</v>
      </c>
      <c r="AH19" s="30">
        <v>1</v>
      </c>
      <c r="AI19" s="30">
        <v>1</v>
      </c>
      <c r="AJ19" s="30">
        <v>1</v>
      </c>
      <c r="AK19" s="30">
        <v>1</v>
      </c>
      <c r="AL19" s="30">
        <v>1</v>
      </c>
      <c r="AM19" s="30">
        <v>1</v>
      </c>
      <c r="AN19" s="30">
        <v>1</v>
      </c>
      <c r="AO19" s="30">
        <v>1</v>
      </c>
      <c r="AP19" s="30">
        <v>1</v>
      </c>
      <c r="AQ19" s="26"/>
      <c r="AR19" s="31" t="str">
        <f t="shared" si="52"/>
        <v>Emerging Battery-Swap Models</v>
      </c>
      <c r="AS19" s="39">
        <f t="shared" si="53"/>
        <v>9.0118181818181819E-2</v>
      </c>
      <c r="AT19" s="39">
        <f t="shared" si="54"/>
        <v>8.8700000000000001E-2</v>
      </c>
    </row>
    <row r="20" spans="2:53" x14ac:dyDescent="0.2">
      <c r="B20" s="33" t="s">
        <v>16</v>
      </c>
      <c r="C20" s="13">
        <f>C$19*AE20</f>
        <v>299.49468192658662</v>
      </c>
      <c r="D20" s="13">
        <f t="shared" ref="D20:N20" si="57">D$19*AF20</f>
        <v>310.80532634069681</v>
      </c>
      <c r="E20" s="13">
        <f t="shared" si="57"/>
        <v>324.25557623341922</v>
      </c>
      <c r="F20" s="13">
        <f t="shared" si="57"/>
        <v>340.20040349738235</v>
      </c>
      <c r="G20" s="13">
        <f t="shared" si="57"/>
        <v>358.78565500146618</v>
      </c>
      <c r="H20" s="13">
        <f t="shared" si="57"/>
        <v>380.36176458191397</v>
      </c>
      <c r="I20" s="13">
        <f t="shared" si="57"/>
        <v>405.36781859253375</v>
      </c>
      <c r="J20" s="13">
        <f t="shared" si="57"/>
        <v>434.37166390287092</v>
      </c>
      <c r="K20" s="13">
        <f t="shared" si="57"/>
        <v>467.79891430320288</v>
      </c>
      <c r="L20" s="13">
        <f t="shared" si="57"/>
        <v>506.37432181518682</v>
      </c>
      <c r="M20" s="13">
        <f t="shared" si="57"/>
        <v>550.91885531138041</v>
      </c>
      <c r="N20" s="13">
        <f t="shared" si="57"/>
        <v>602.52562172345176</v>
      </c>
      <c r="O20" s="14">
        <f t="shared" ref="O20:O22" si="58">((N20/H20)^(1/7)-1)*100%</f>
        <v>6.7922678756082489E-2</v>
      </c>
      <c r="P20" s="4"/>
      <c r="Q20" s="44" t="str">
        <f>B20</f>
        <v>Diesel-Powered</v>
      </c>
      <c r="R20" s="5">
        <f>(D20/C20-1)*100</f>
        <v>3.7765760451408337</v>
      </c>
      <c r="S20" s="5">
        <f t="shared" si="56"/>
        <v>4.3275480671713495</v>
      </c>
      <c r="T20" s="5">
        <f t="shared" si="56"/>
        <v>4.9173640895183945</v>
      </c>
      <c r="U20" s="5">
        <f t="shared" si="56"/>
        <v>5.4630304117869288</v>
      </c>
      <c r="V20" s="5">
        <f t="shared" si="56"/>
        <v>6.0136488958455248</v>
      </c>
      <c r="W20" s="5">
        <f t="shared" si="56"/>
        <v>6.57428173362955</v>
      </c>
      <c r="X20" s="5">
        <f t="shared" si="56"/>
        <v>7.15494520779687</v>
      </c>
      <c r="Y20" s="5">
        <f t="shared" si="56"/>
        <v>7.6955412100285114</v>
      </c>
      <c r="Z20" s="5">
        <f t="shared" si="56"/>
        <v>8.2461515690866563</v>
      </c>
      <c r="AA20" s="5">
        <f t="shared" si="56"/>
        <v>8.7967599416407971</v>
      </c>
      <c r="AB20" s="5">
        <f t="shared" si="56"/>
        <v>9.3673988309772138</v>
      </c>
      <c r="AC20" s="38"/>
      <c r="AD20" s="44" t="str">
        <f>Q20</f>
        <v>Diesel-Powered</v>
      </c>
      <c r="AE20" s="1">
        <v>0.47889999999999994</v>
      </c>
      <c r="AF20" s="1">
        <v>0.47969090909090906</v>
      </c>
      <c r="AG20" s="1">
        <v>0.48048181818181812</v>
      </c>
      <c r="AH20" s="1">
        <v>0.48127272727272724</v>
      </c>
      <c r="AI20" s="1">
        <v>0.48206363636363631</v>
      </c>
      <c r="AJ20" s="1">
        <v>0.48285454545454543</v>
      </c>
      <c r="AK20" s="1">
        <v>0.48364545454545449</v>
      </c>
      <c r="AL20" s="1">
        <v>0.48443636363636361</v>
      </c>
      <c r="AM20" s="1">
        <v>0.48522727272727267</v>
      </c>
      <c r="AN20" s="1">
        <v>0.48601818181818179</v>
      </c>
      <c r="AO20" s="1">
        <v>0.48680909090909086</v>
      </c>
      <c r="AP20" s="1">
        <v>0.48759999999999992</v>
      </c>
      <c r="AQ20" s="7"/>
      <c r="AR20" s="31" t="str">
        <f t="shared" ref="AR20" si="59">AD23</f>
        <v>Others</v>
      </c>
      <c r="AS20" s="39">
        <f t="shared" ref="AS20" si="60">AJ23</f>
        <v>0.11306363636363635</v>
      </c>
      <c r="AT20" s="39">
        <f t="shared" ref="AT20" si="61">AP23</f>
        <v>0.1069</v>
      </c>
      <c r="AU20" s="7"/>
      <c r="AV20" s="7"/>
      <c r="AW20" s="7"/>
      <c r="AX20" s="7"/>
      <c r="AY20" s="7"/>
      <c r="AZ20" s="7"/>
      <c r="BA20" s="7"/>
    </row>
    <row r="21" spans="2:53" s="2" customFormat="1" x14ac:dyDescent="0.2">
      <c r="B21" s="33" t="s">
        <v>17</v>
      </c>
      <c r="C21" s="13">
        <f t="shared" ref="C21:C23" si="62">C$19*AE21</f>
        <v>194.86853808378456</v>
      </c>
      <c r="D21" s="13">
        <f t="shared" ref="D21:D23" si="63">D$19*AF21</f>
        <v>202.20075887168707</v>
      </c>
      <c r="E21" s="13">
        <f t="shared" ref="E21:E23" si="64">E$19*AG21</f>
        <v>210.92287497218615</v>
      </c>
      <c r="F21" s="13">
        <f t="shared" ref="F21:F23" si="65">F$19*AH21</f>
        <v>221.26521143222274</v>
      </c>
      <c r="G21" s="13">
        <f t="shared" ref="G21:G23" si="66">G$19*AI21</f>
        <v>233.32197799367424</v>
      </c>
      <c r="H21" s="13">
        <f t="shared" ref="H21:H23" si="67">H$19*AJ21</f>
        <v>247.32036565879019</v>
      </c>
      <c r="I21" s="13">
        <f t="shared" ref="I21:I23" si="68">I$19*AK21</f>
        <v>263.54508579685648</v>
      </c>
      <c r="J21" s="13">
        <f t="shared" ref="J21:J23" si="69">J$19*AL21</f>
        <v>282.36440544954684</v>
      </c>
      <c r="K21" s="13">
        <f t="shared" ref="K21:K23" si="70">K$19*AM21</f>
        <v>304.05395662776056</v>
      </c>
      <c r="L21" s="13">
        <f t="shared" ref="L21:L23" si="71">L$19*AN21</f>
        <v>329.08363767062315</v>
      </c>
      <c r="M21" s="13">
        <f t="shared" ref="M21:M23" si="72">M$19*AO21</f>
        <v>357.98562978607998</v>
      </c>
      <c r="N21" s="13">
        <f t="shared" ref="N21:N23" si="73">N$19*AP21</f>
        <v>391.46865660785397</v>
      </c>
      <c r="O21" s="14">
        <f t="shared" si="58"/>
        <v>6.7802704544718928E-2</v>
      </c>
      <c r="P21" s="4"/>
      <c r="Q21" s="44" t="str">
        <f t="shared" ref="Q21:Q22" si="74">B21</f>
        <v>Hybrid / Electric-Powered</v>
      </c>
      <c r="R21" s="5">
        <f t="shared" ref="R21:R22" si="75">(D21/C21-1)*100</f>
        <v>3.7626498664191654</v>
      </c>
      <c r="S21" s="5">
        <f t="shared" si="56"/>
        <v>4.3135921690748757</v>
      </c>
      <c r="T21" s="5">
        <f t="shared" si="56"/>
        <v>4.9033735489336649</v>
      </c>
      <c r="U21" s="5">
        <f t="shared" si="56"/>
        <v>5.4490113847583732</v>
      </c>
      <c r="V21" s="5">
        <f t="shared" si="56"/>
        <v>5.9996009743649159</v>
      </c>
      <c r="W21" s="5">
        <f t="shared" si="56"/>
        <v>6.5602038452629241</v>
      </c>
      <c r="X21" s="5">
        <f t="shared" si="56"/>
        <v>7.1408349716664876</v>
      </c>
      <c r="Y21" s="5">
        <f t="shared" si="56"/>
        <v>7.6814041570438807</v>
      </c>
      <c r="Z21" s="5">
        <f t="shared" si="56"/>
        <v>8.2319866251585374</v>
      </c>
      <c r="AA21" s="5">
        <f t="shared" si="56"/>
        <v>8.7825673497582422</v>
      </c>
      <c r="AB21" s="5">
        <f t="shared" si="56"/>
        <v>9.3531762271525487</v>
      </c>
      <c r="AC21" s="6"/>
      <c r="AD21" s="44" t="str">
        <f t="shared" ref="AD21:AD22" si="76">Q21</f>
        <v>Hybrid / Electric-Powered</v>
      </c>
      <c r="AE21" s="1">
        <v>0.31160000000000004</v>
      </c>
      <c r="AF21" s="1">
        <v>0.31207272727272728</v>
      </c>
      <c r="AG21" s="1">
        <v>0.31254545454545457</v>
      </c>
      <c r="AH21" s="1">
        <v>0.31301818181818186</v>
      </c>
      <c r="AI21" s="1">
        <v>0.31349090909090915</v>
      </c>
      <c r="AJ21" s="1">
        <v>0.31396363636363639</v>
      </c>
      <c r="AK21" s="1">
        <v>0.31443636363636368</v>
      </c>
      <c r="AL21" s="1">
        <v>0.31490909090909097</v>
      </c>
      <c r="AM21" s="1">
        <v>0.31538181818181826</v>
      </c>
      <c r="AN21" s="1">
        <v>0.3158545454545455</v>
      </c>
      <c r="AO21" s="1">
        <v>0.31632727272727279</v>
      </c>
      <c r="AP21" s="1">
        <v>0.31680000000000008</v>
      </c>
      <c r="AQ21" s="7"/>
      <c r="AR21" s="31"/>
      <c r="AS21" s="39"/>
      <c r="AT21" s="39"/>
      <c r="AU21" s="7"/>
      <c r="AV21" s="7"/>
      <c r="AW21" s="7"/>
      <c r="AX21" s="7"/>
      <c r="AY21" s="7"/>
      <c r="AZ21" s="7"/>
      <c r="BA21" s="7"/>
    </row>
    <row r="22" spans="2:53" s="2" customFormat="1" x14ac:dyDescent="0.2">
      <c r="B22" s="33" t="s">
        <v>18</v>
      </c>
      <c r="C22" s="13">
        <f t="shared" si="62"/>
        <v>57.097232115049835</v>
      </c>
      <c r="D22" s="13">
        <f t="shared" si="63"/>
        <v>59.002709205828751</v>
      </c>
      <c r="E22" s="13">
        <f t="shared" si="64"/>
        <v>61.295242694796734</v>
      </c>
      <c r="F22" s="13">
        <f t="shared" si="65"/>
        <v>64.036588984726407</v>
      </c>
      <c r="G22" s="13">
        <f t="shared" si="66"/>
        <v>67.248206103674974</v>
      </c>
      <c r="H22" s="13">
        <f t="shared" si="67"/>
        <v>70.989309264986886</v>
      </c>
      <c r="I22" s="13">
        <f t="shared" si="68"/>
        <v>75.334516689994203</v>
      </c>
      <c r="J22" s="13">
        <f t="shared" si="69"/>
        <v>80.380929622920931</v>
      </c>
      <c r="K22" s="13">
        <f t="shared" si="70"/>
        <v>86.197701586360679</v>
      </c>
      <c r="L22" s="13">
        <f t="shared" si="71"/>
        <v>92.907592732878811</v>
      </c>
      <c r="M22" s="13">
        <f t="shared" si="72"/>
        <v>100.64873595232842</v>
      </c>
      <c r="N22" s="13">
        <f t="shared" si="73"/>
        <v>109.60628106413081</v>
      </c>
      <c r="O22" s="14">
        <f t="shared" si="58"/>
        <v>6.4017883473711956E-2</v>
      </c>
      <c r="P22" s="4"/>
      <c r="Q22" s="44" t="str">
        <f t="shared" si="74"/>
        <v>Emerging Battery-Swap Models</v>
      </c>
      <c r="R22" s="5">
        <f t="shared" si="75"/>
        <v>3.3372494956312782</v>
      </c>
      <c r="S22" s="5">
        <f t="shared" si="56"/>
        <v>3.885471565331966</v>
      </c>
      <c r="T22" s="5">
        <f t="shared" si="56"/>
        <v>4.4723638726409387</v>
      </c>
      <c r="U22" s="5">
        <f t="shared" si="56"/>
        <v>5.0152844957350506</v>
      </c>
      <c r="V22" s="5">
        <f t="shared" si="56"/>
        <v>5.5631270751584694</v>
      </c>
      <c r="W22" s="5">
        <f t="shared" si="56"/>
        <v>6.1209321093513624</v>
      </c>
      <c r="X22" s="5">
        <f t="shared" si="56"/>
        <v>6.6986730049560128</v>
      </c>
      <c r="Y22" s="5">
        <f t="shared" si="56"/>
        <v>7.2365074536051122</v>
      </c>
      <c r="Z22" s="5">
        <f t="shared" si="56"/>
        <v>7.7843040162684174</v>
      </c>
      <c r="AA22" s="5">
        <f t="shared" si="56"/>
        <v>8.3320888979508734</v>
      </c>
      <c r="AB22" s="5">
        <f t="shared" si="56"/>
        <v>8.8998088520903629</v>
      </c>
      <c r="AC22" s="6"/>
      <c r="AD22" s="44" t="str">
        <f t="shared" si="76"/>
        <v>Emerging Battery-Swap Models</v>
      </c>
      <c r="AE22" s="1">
        <v>9.1300000000000006E-2</v>
      </c>
      <c r="AF22" s="1">
        <v>9.106363636363636E-2</v>
      </c>
      <c r="AG22" s="1">
        <v>9.0827272727272729E-2</v>
      </c>
      <c r="AH22" s="1">
        <v>9.0590909090909097E-2</v>
      </c>
      <c r="AI22" s="1">
        <v>9.0354545454545451E-2</v>
      </c>
      <c r="AJ22" s="1">
        <v>9.0118181818181819E-2</v>
      </c>
      <c r="AK22" s="1">
        <v>8.9881818181818174E-2</v>
      </c>
      <c r="AL22" s="1">
        <v>8.9645454545454542E-2</v>
      </c>
      <c r="AM22" s="1">
        <v>8.940909090909091E-2</v>
      </c>
      <c r="AN22" s="1">
        <v>8.9172727272727265E-2</v>
      </c>
      <c r="AO22" s="1">
        <v>8.8936363636363633E-2</v>
      </c>
      <c r="AP22" s="1">
        <v>8.8700000000000001E-2</v>
      </c>
      <c r="AQ22" s="8"/>
      <c r="AR22" s="31"/>
      <c r="AS22" s="39"/>
      <c r="AT22" s="39"/>
    </row>
    <row r="23" spans="2:53" s="2" customFormat="1" x14ac:dyDescent="0.2">
      <c r="B23" s="33" t="s">
        <v>5</v>
      </c>
      <c r="C23" s="13">
        <f t="shared" si="62"/>
        <v>73.919965345004272</v>
      </c>
      <c r="D23" s="13">
        <f t="shared" si="63"/>
        <v>75.919528696608438</v>
      </c>
      <c r="E23" s="13">
        <f t="shared" si="64"/>
        <v>78.38134527762216</v>
      </c>
      <c r="F23" s="13">
        <f t="shared" si="65"/>
        <v>81.374342831268478</v>
      </c>
      <c r="G23" s="13">
        <f t="shared" si="66"/>
        <v>84.914476969626818</v>
      </c>
      <c r="H23" s="13">
        <f t="shared" si="67"/>
        <v>89.064263021148165</v>
      </c>
      <c r="I23" s="13">
        <f t="shared" si="68"/>
        <v>93.903366409172506</v>
      </c>
      <c r="J23" s="13">
        <f t="shared" si="69"/>
        <v>99.536713479919626</v>
      </c>
      <c r="K23" s="13">
        <f t="shared" si="70"/>
        <v>106.03149911456954</v>
      </c>
      <c r="L23" s="13">
        <f t="shared" si="71"/>
        <v>113.51794259389872</v>
      </c>
      <c r="M23" s="13">
        <f t="shared" si="72"/>
        <v>122.14063101564376</v>
      </c>
      <c r="N23" s="13">
        <f t="shared" si="73"/>
        <v>132.09595767480928</v>
      </c>
      <c r="O23" s="14">
        <f t="shared" ref="O23" si="77">((N23/H23)^(1/7)-1)*100%</f>
        <v>5.792565709135844E-2</v>
      </c>
      <c r="P23" s="4"/>
      <c r="Q23" s="44" t="str">
        <f t="shared" ref="Q23" si="78">B23</f>
        <v>Others</v>
      </c>
      <c r="R23" s="5">
        <f t="shared" ref="R23" si="79">(D23/C23-1)*100</f>
        <v>2.7050382697985098</v>
      </c>
      <c r="S23" s="5">
        <f t="shared" ref="S23" si="80">(E23/D23-1)*100</f>
        <v>3.2426657847833829</v>
      </c>
      <c r="T23" s="5">
        <f t="shared" ref="T23" si="81">(F23/E23-1)*100</f>
        <v>3.8185075071693442</v>
      </c>
      <c r="U23" s="5">
        <f t="shared" ref="U23" si="82">(G23/F23-1)*100</f>
        <v>4.3504303877438311</v>
      </c>
      <c r="V23" s="5">
        <f t="shared" ref="V23" si="83">(H23/G23-1)*100</f>
        <v>4.8870183266932044</v>
      </c>
      <c r="W23" s="5">
        <f t="shared" ref="W23" si="84">(I23/H23-1)*100</f>
        <v>5.4332716893141564</v>
      </c>
      <c r="X23" s="5">
        <f t="shared" ref="X23" si="85">(J23/I23-1)*100</f>
        <v>5.9990895813047729</v>
      </c>
      <c r="Y23" s="5">
        <f t="shared" ref="Y23" si="86">(K23/J23-1)*100</f>
        <v>6.5250151502743492</v>
      </c>
      <c r="Z23" s="5">
        <f t="shared" ref="Z23" si="87">(L23/K23-1)*100</f>
        <v>7.0605843941147217</v>
      </c>
      <c r="AA23" s="5">
        <f t="shared" ref="AA23" si="88">(M23/L23-1)*100</f>
        <v>7.5958815185648731</v>
      </c>
      <c r="AB23" s="5">
        <f t="shared" ref="AB23" si="89">(N23/M23-1)*100</f>
        <v>8.1507083894878818</v>
      </c>
      <c r="AC23" s="6"/>
      <c r="AD23" s="44" t="str">
        <f t="shared" ref="AD23" si="90">Q23</f>
        <v>Others</v>
      </c>
      <c r="AE23" s="1">
        <v>0.1182</v>
      </c>
      <c r="AF23" s="1">
        <v>0.11717272727272726</v>
      </c>
      <c r="AG23" s="1">
        <v>0.11614545454545454</v>
      </c>
      <c r="AH23" s="1">
        <v>0.11511818181818181</v>
      </c>
      <c r="AI23" s="1">
        <v>0.11409090909090909</v>
      </c>
      <c r="AJ23" s="1">
        <v>0.11306363636363635</v>
      </c>
      <c r="AK23" s="1">
        <v>0.11203636363636363</v>
      </c>
      <c r="AL23" s="1">
        <v>0.1110090909090909</v>
      </c>
      <c r="AM23" s="1">
        <v>0.10998181818181818</v>
      </c>
      <c r="AN23" s="1">
        <v>0.10895454545454544</v>
      </c>
      <c r="AO23" s="1">
        <v>0.10792727272727272</v>
      </c>
      <c r="AP23" s="1">
        <v>0.1069</v>
      </c>
      <c r="AQ23" s="8"/>
      <c r="AR23" s="46"/>
    </row>
    <row r="24" spans="2:53" s="2" customFormat="1" x14ac:dyDescent="0.2">
      <c r="B24" s="3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4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6"/>
      <c r="AD24" s="3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8"/>
      <c r="AR24" s="46"/>
    </row>
    <row r="25" spans="2:53" s="2" customFormat="1" x14ac:dyDescent="0.2">
      <c r="B25" s="3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4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6"/>
      <c r="AD25" s="3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8"/>
      <c r="AR25" s="46"/>
    </row>
    <row r="26" spans="2:53" ht="15" customHeight="1" x14ac:dyDescent="0.2">
      <c r="B26" s="43" t="str">
        <f>B4</f>
        <v>Australia Elevating Work Platforms and Spider Lifts Market</v>
      </c>
      <c r="C26" s="19"/>
      <c r="D26" s="51" t="s">
        <v>1</v>
      </c>
      <c r="E26" s="51"/>
      <c r="F26" s="51"/>
      <c r="G26" s="51"/>
      <c r="H26" s="51"/>
      <c r="I26" s="51"/>
      <c r="J26" s="51"/>
      <c r="K26" s="51"/>
      <c r="L26" s="51"/>
      <c r="M26" s="51"/>
      <c r="N26" s="19"/>
      <c r="Q26" s="52" t="str">
        <f>B26</f>
        <v>Australia Elevating Work Platforms and Spider Lifts Market</v>
      </c>
      <c r="R26" s="20"/>
      <c r="S26" s="51" t="s">
        <v>2</v>
      </c>
      <c r="T26" s="51"/>
      <c r="U26" s="51"/>
      <c r="V26" s="51"/>
      <c r="W26" s="51"/>
      <c r="X26" s="51"/>
      <c r="Y26" s="51"/>
      <c r="Z26" s="51"/>
      <c r="AA26" s="51"/>
      <c r="AB26" s="51"/>
      <c r="AC26" s="38"/>
      <c r="AD26" s="52" t="s">
        <v>4</v>
      </c>
      <c r="AE26" s="21"/>
      <c r="AF26" s="53" t="s">
        <v>0</v>
      </c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R26" s="46"/>
    </row>
    <row r="27" spans="2:53" x14ac:dyDescent="0.2">
      <c r="B27" s="43"/>
      <c r="C27" s="23">
        <v>2019</v>
      </c>
      <c r="D27" s="23">
        <v>2020</v>
      </c>
      <c r="E27" s="23">
        <v>2021</v>
      </c>
      <c r="F27" s="23">
        <v>2022</v>
      </c>
      <c r="G27" s="23">
        <v>2023</v>
      </c>
      <c r="H27" s="23">
        <v>2024</v>
      </c>
      <c r="I27" s="23">
        <v>2025</v>
      </c>
      <c r="J27" s="23">
        <v>2026</v>
      </c>
      <c r="K27" s="23">
        <v>2027</v>
      </c>
      <c r="L27" s="23">
        <v>2028</v>
      </c>
      <c r="M27" s="23">
        <v>2029</v>
      </c>
      <c r="N27" s="23">
        <v>2030</v>
      </c>
      <c r="O27" s="24" t="s">
        <v>3</v>
      </c>
      <c r="Q27" s="52"/>
      <c r="R27" s="23">
        <v>2020</v>
      </c>
      <c r="S27" s="23">
        <v>2021</v>
      </c>
      <c r="T27" s="23">
        <v>2022</v>
      </c>
      <c r="U27" s="23">
        <v>2023</v>
      </c>
      <c r="V27" s="23">
        <v>2024</v>
      </c>
      <c r="W27" s="23">
        <v>2025</v>
      </c>
      <c r="X27" s="23">
        <v>2026</v>
      </c>
      <c r="Y27" s="23">
        <v>2027</v>
      </c>
      <c r="Z27" s="23">
        <v>2028</v>
      </c>
      <c r="AA27" s="23">
        <v>2029</v>
      </c>
      <c r="AB27" s="23">
        <v>2030</v>
      </c>
      <c r="AC27" s="38"/>
      <c r="AD27" s="52"/>
      <c r="AE27" s="23">
        <v>2019</v>
      </c>
      <c r="AF27" s="23">
        <v>2020</v>
      </c>
      <c r="AG27" s="23">
        <v>2021</v>
      </c>
      <c r="AH27" s="23">
        <v>2022</v>
      </c>
      <c r="AI27" s="23">
        <v>2023</v>
      </c>
      <c r="AJ27" s="23">
        <v>2024</v>
      </c>
      <c r="AK27" s="23">
        <v>2025</v>
      </c>
      <c r="AL27" s="23">
        <v>2026</v>
      </c>
      <c r="AM27" s="23">
        <v>2027</v>
      </c>
      <c r="AN27" s="23">
        <v>2028</v>
      </c>
      <c r="AO27" s="23">
        <v>2029</v>
      </c>
      <c r="AP27" s="23">
        <v>2030</v>
      </c>
      <c r="AR27" s="46"/>
    </row>
    <row r="28" spans="2:53" ht="22" customHeight="1" x14ac:dyDescent="0.2">
      <c r="B28" s="43"/>
      <c r="E28" s="18"/>
      <c r="Q28" s="52"/>
      <c r="AD28" s="52"/>
      <c r="AE28" s="25"/>
      <c r="AG28" s="18"/>
      <c r="AQ28" s="26"/>
      <c r="AR28" s="33"/>
      <c r="AS28" s="23">
        <v>2024</v>
      </c>
      <c r="AT28" s="23">
        <v>2030</v>
      </c>
      <c r="AU28" s="28"/>
      <c r="AV28" s="28"/>
    </row>
    <row r="29" spans="2:53" x14ac:dyDescent="0.2">
      <c r="B29" s="29" t="s">
        <v>7</v>
      </c>
      <c r="C29" s="32">
        <f>C7</f>
        <v>625.3804174704253</v>
      </c>
      <c r="D29" s="32">
        <f t="shared" ref="D29:N29" si="91">D7</f>
        <v>647.92832311482107</v>
      </c>
      <c r="E29" s="32">
        <f t="shared" si="91"/>
        <v>674.8550391780243</v>
      </c>
      <c r="F29" s="32">
        <f t="shared" si="91"/>
        <v>706.87654674559997</v>
      </c>
      <c r="G29" s="32">
        <f t="shared" si="91"/>
        <v>744.27031606844218</v>
      </c>
      <c r="H29" s="32">
        <f t="shared" si="91"/>
        <v>787.73570252683919</v>
      </c>
      <c r="I29" s="32">
        <f t="shared" si="91"/>
        <v>838.15078748855694</v>
      </c>
      <c r="J29" s="32">
        <f t="shared" si="91"/>
        <v>896.6537124552583</v>
      </c>
      <c r="K29" s="32">
        <f t="shared" si="91"/>
        <v>964.08207163189365</v>
      </c>
      <c r="L29" s="32">
        <f t="shared" si="91"/>
        <v>1041.8834948125875</v>
      </c>
      <c r="M29" s="32">
        <f t="shared" si="91"/>
        <v>1131.6938520654326</v>
      </c>
      <c r="N29" s="32">
        <f t="shared" si="91"/>
        <v>1235.6965170702458</v>
      </c>
      <c r="O29" s="14">
        <f>((N29/H29)^(1/7)-1)*100%</f>
        <v>6.6431689556592177E-2</v>
      </c>
      <c r="P29" s="4"/>
      <c r="Q29" s="29" t="str">
        <f>B29</f>
        <v>Application</v>
      </c>
      <c r="R29" s="20">
        <f t="shared" ref="R29:AB32" si="92">(D29/C29-1)*100</f>
        <v>3.6054703688354728</v>
      </c>
      <c r="S29" s="20">
        <f t="shared" si="92"/>
        <v>4.1558171023851731</v>
      </c>
      <c r="T29" s="20">
        <f t="shared" si="92"/>
        <v>4.7449460563527834</v>
      </c>
      <c r="U29" s="20">
        <f t="shared" si="92"/>
        <v>5.2899999999999947</v>
      </c>
      <c r="V29" s="20">
        <f t="shared" si="92"/>
        <v>5.8400000000000007</v>
      </c>
      <c r="W29" s="20">
        <f t="shared" si="92"/>
        <v>6.4000000000000057</v>
      </c>
      <c r="X29" s="20">
        <f t="shared" si="92"/>
        <v>6.9800000000000084</v>
      </c>
      <c r="Y29" s="20">
        <f t="shared" si="92"/>
        <v>7.5199999999999934</v>
      </c>
      <c r="Z29" s="20">
        <f t="shared" si="92"/>
        <v>8.07</v>
      </c>
      <c r="AA29" s="20">
        <f t="shared" si="92"/>
        <v>8.6200000000000045</v>
      </c>
      <c r="AB29" s="20">
        <f t="shared" si="92"/>
        <v>9.1900000000000084</v>
      </c>
      <c r="AD29" s="29" t="str">
        <f>Q29</f>
        <v>Application</v>
      </c>
      <c r="AE29" s="30">
        <v>1</v>
      </c>
      <c r="AF29" s="30">
        <v>1</v>
      </c>
      <c r="AG29" s="30">
        <v>1</v>
      </c>
      <c r="AH29" s="30">
        <v>1</v>
      </c>
      <c r="AI29" s="30">
        <v>1</v>
      </c>
      <c r="AJ29" s="30">
        <v>1</v>
      </c>
      <c r="AK29" s="30">
        <v>1</v>
      </c>
      <c r="AL29" s="30">
        <v>1</v>
      </c>
      <c r="AM29" s="30">
        <v>1</v>
      </c>
      <c r="AN29" s="30">
        <v>1</v>
      </c>
      <c r="AO29" s="30">
        <v>1</v>
      </c>
      <c r="AP29" s="30">
        <v>1</v>
      </c>
      <c r="AR29" s="33" t="str">
        <f>AD30</f>
        <v>Construction &amp; Building Maintenance</v>
      </c>
      <c r="AS29" s="7">
        <f>AJ30</f>
        <v>0.40821818181818181</v>
      </c>
      <c r="AT29" s="7">
        <f>AP30</f>
        <v>0.42120000000000002</v>
      </c>
    </row>
    <row r="30" spans="2:53" s="2" customFormat="1" x14ac:dyDescent="0.2">
      <c r="B30" s="50" t="s">
        <v>19</v>
      </c>
      <c r="C30" s="34">
        <f>C$29*AE30</f>
        <v>248.52617790274701</v>
      </c>
      <c r="D30" s="34">
        <f t="shared" ref="D30:N30" si="93">D$29*AF30</f>
        <v>258.88859688675103</v>
      </c>
      <c r="E30" s="34">
        <f t="shared" si="93"/>
        <v>271.10767437524447</v>
      </c>
      <c r="F30" s="34">
        <f t="shared" si="93"/>
        <v>285.50101108012285</v>
      </c>
      <c r="G30" s="34">
        <f t="shared" si="93"/>
        <v>302.21434488648214</v>
      </c>
      <c r="H30" s="34">
        <f t="shared" si="93"/>
        <v>321.56803623877443</v>
      </c>
      <c r="I30" s="34">
        <f t="shared" si="93"/>
        <v>343.96184408007673</v>
      </c>
      <c r="J30" s="34">
        <f t="shared" si="93"/>
        <v>369.91041337472382</v>
      </c>
      <c r="K30" s="34">
        <f t="shared" si="93"/>
        <v>399.81359948821569</v>
      </c>
      <c r="L30" s="34">
        <f t="shared" si="93"/>
        <v>434.33281398296378</v>
      </c>
      <c r="M30" s="34">
        <f t="shared" si="93"/>
        <v>474.22087651912773</v>
      </c>
      <c r="N30" s="34">
        <f t="shared" si="93"/>
        <v>520.47537298998759</v>
      </c>
      <c r="O30" s="14">
        <f t="shared" ref="O30:O32" si="94">((N30/H30)^(1/7)-1)*100%</f>
        <v>7.1211756097516732E-2</v>
      </c>
      <c r="P30" s="4"/>
      <c r="Q30" s="33" t="str">
        <f>B30</f>
        <v>Construction &amp; Building Maintenance</v>
      </c>
      <c r="R30" s="35">
        <f t="shared" si="92"/>
        <v>4.1695482831828778</v>
      </c>
      <c r="S30" s="35">
        <f t="shared" si="92"/>
        <v>4.7198206624135652</v>
      </c>
      <c r="T30" s="35">
        <f t="shared" si="92"/>
        <v>5.3090849375795779</v>
      </c>
      <c r="U30" s="35">
        <f t="shared" si="92"/>
        <v>5.8540366435581026</v>
      </c>
      <c r="V30" s="35">
        <f t="shared" si="92"/>
        <v>6.4039618501768869</v>
      </c>
      <c r="W30" s="35">
        <f t="shared" si="92"/>
        <v>6.96394085159453</v>
      </c>
      <c r="X30" s="35">
        <f t="shared" si="92"/>
        <v>7.5440255194718864</v>
      </c>
      <c r="Y30" s="35">
        <f t="shared" si="92"/>
        <v>8.0838995152049407</v>
      </c>
      <c r="Z30" s="35">
        <f t="shared" si="92"/>
        <v>8.6338269981147917</v>
      </c>
      <c r="AA30" s="35">
        <f t="shared" si="92"/>
        <v>9.1837552337753046</v>
      </c>
      <c r="AB30" s="35">
        <f t="shared" si="92"/>
        <v>9.7537874777628311</v>
      </c>
      <c r="AC30" s="38"/>
      <c r="AD30" s="33" t="str">
        <f>Q30</f>
        <v>Construction &amp; Building Maintenance</v>
      </c>
      <c r="AE30" s="1">
        <v>0.39739999999999998</v>
      </c>
      <c r="AF30" s="1">
        <v>0.39956363636363634</v>
      </c>
      <c r="AG30" s="1">
        <v>0.40172727272727271</v>
      </c>
      <c r="AH30" s="1">
        <v>0.40389090909090908</v>
      </c>
      <c r="AI30" s="1">
        <v>0.40605454545454545</v>
      </c>
      <c r="AJ30" s="1">
        <v>0.40821818181818181</v>
      </c>
      <c r="AK30" s="1">
        <v>0.41038181818181818</v>
      </c>
      <c r="AL30" s="1">
        <v>0.41254545454545455</v>
      </c>
      <c r="AM30" s="1">
        <v>0.41470909090909092</v>
      </c>
      <c r="AN30" s="1">
        <v>0.41687272727272728</v>
      </c>
      <c r="AO30" s="1">
        <v>0.41903636363636365</v>
      </c>
      <c r="AP30" s="1">
        <v>0.42120000000000002</v>
      </c>
      <c r="AQ30" s="36"/>
      <c r="AR30" s="33" t="str">
        <f t="shared" ref="AR30:AR31" si="95">AD31</f>
        <v xml:space="preserve">Utility &amp; Infrastructure </v>
      </c>
      <c r="AS30" s="7">
        <f t="shared" ref="AS30:AS31" si="96">AJ31</f>
        <v>0.1374272727272727</v>
      </c>
      <c r="AT30" s="7">
        <f t="shared" ref="AT30:AT31" si="97">AP31</f>
        <v>0.13589999999999999</v>
      </c>
    </row>
    <row r="31" spans="2:53" s="2" customFormat="1" x14ac:dyDescent="0.2">
      <c r="B31" s="50" t="s">
        <v>20</v>
      </c>
      <c r="C31" s="34">
        <f t="shared" ref="C31:C35" si="98">C$29*AE31</f>
        <v>86.740263903147977</v>
      </c>
      <c r="D31" s="34">
        <f t="shared" ref="D31:D35" si="99">D$29*AF31</f>
        <v>89.702731206505547</v>
      </c>
      <c r="E31" s="34">
        <f t="shared" ref="E31:E35" si="100">E$29*AG31</f>
        <v>93.25883136859224</v>
      </c>
      <c r="F31" s="34">
        <f t="shared" ref="F31:F35" si="101">F$29*AH31</f>
        <v>97.50398039791807</v>
      </c>
      <c r="G31" s="34">
        <f t="shared" ref="G31:G35" si="102">G$29*AI31</f>
        <v>102.4724903350596</v>
      </c>
      <c r="H31" s="34">
        <f t="shared" ref="H31:H35" si="103">H$29*AJ31</f>
        <v>108.2563692281657</v>
      </c>
      <c r="I31" s="34">
        <f t="shared" ref="I31:I35" si="104">I$29*AK31</f>
        <v>114.9714293855894</v>
      </c>
      <c r="J31" s="34">
        <f t="shared" ref="J31:J35" si="105">J$29*AL31</f>
        <v>122.76819602989676</v>
      </c>
      <c r="K31" s="34">
        <f t="shared" ref="K31:K35" si="106">K$29*AM31</f>
        <v>131.75496166220233</v>
      </c>
      <c r="L31" s="34">
        <f t="shared" ref="L31:L35" si="107">L$29*AN31</f>
        <v>142.12238036057158</v>
      </c>
      <c r="M31" s="34">
        <f t="shared" ref="M31:M35" si="108">M$29*AO31</f>
        <v>154.08526202167258</v>
      </c>
      <c r="N31" s="34">
        <f t="shared" ref="N31:N35" si="109">N$29*AP31</f>
        <v>167.93115666984639</v>
      </c>
      <c r="O31" s="14">
        <f t="shared" si="94"/>
        <v>6.4730485084480982E-2</v>
      </c>
      <c r="P31" s="4"/>
      <c r="Q31" s="33" t="str">
        <f t="shared" ref="Q31:Q32" si="110">B31</f>
        <v xml:space="preserve">Utility &amp; Infrastructure </v>
      </c>
      <c r="R31" s="35">
        <f t="shared" si="92"/>
        <v>3.4153312084286291</v>
      </c>
      <c r="S31" s="35">
        <f t="shared" si="92"/>
        <v>3.96431648652944</v>
      </c>
      <c r="T31" s="35">
        <f t="shared" si="92"/>
        <v>4.5520075332570853</v>
      </c>
      <c r="U31" s="35">
        <f t="shared" si="92"/>
        <v>5.0956995979700714</v>
      </c>
      <c r="V31" s="35">
        <f t="shared" si="92"/>
        <v>5.6443235391218094</v>
      </c>
      <c r="W31" s="35">
        <f t="shared" si="92"/>
        <v>6.2029238605543435</v>
      </c>
      <c r="X31" s="35">
        <f t="shared" si="92"/>
        <v>6.7814818742130134</v>
      </c>
      <c r="Y31" s="35">
        <f t="shared" si="92"/>
        <v>7.3201088905119116</v>
      </c>
      <c r="Z31" s="35">
        <f t="shared" si="92"/>
        <v>7.8687121665668824</v>
      </c>
      <c r="AA31" s="35">
        <f t="shared" si="92"/>
        <v>8.4173102299233804</v>
      </c>
      <c r="AB31" s="35">
        <f t="shared" si="92"/>
        <v>8.9858656606796927</v>
      </c>
      <c r="AC31" s="38"/>
      <c r="AD31" s="33" t="str">
        <f t="shared" ref="AD31:AD32" si="111">Q31</f>
        <v xml:space="preserve">Utility &amp; Infrastructure </v>
      </c>
      <c r="AE31" s="1">
        <v>0.13869999999999999</v>
      </c>
      <c r="AF31" s="1">
        <v>0.13844545454545454</v>
      </c>
      <c r="AG31" s="1">
        <v>0.13819090909090909</v>
      </c>
      <c r="AH31" s="1">
        <v>0.13793636363636363</v>
      </c>
      <c r="AI31" s="1">
        <v>0.13768181818181818</v>
      </c>
      <c r="AJ31" s="1">
        <v>0.1374272727272727</v>
      </c>
      <c r="AK31" s="1">
        <v>0.13717272727272725</v>
      </c>
      <c r="AL31" s="1">
        <v>0.1369181818181818</v>
      </c>
      <c r="AM31" s="1">
        <v>0.13666363636363635</v>
      </c>
      <c r="AN31" s="1">
        <v>0.1364090909090909</v>
      </c>
      <c r="AO31" s="1">
        <v>0.13615454545454544</v>
      </c>
      <c r="AP31" s="1">
        <v>0.13589999999999999</v>
      </c>
      <c r="AQ31" s="36"/>
      <c r="AR31" s="33" t="str">
        <f t="shared" si="95"/>
        <v>Tree Care &amp; Landscaping</v>
      </c>
      <c r="AS31" s="7">
        <f t="shared" si="96"/>
        <v>8.8581818181818178E-2</v>
      </c>
      <c r="AT31" s="7">
        <f t="shared" si="97"/>
        <v>8.412E-2</v>
      </c>
    </row>
    <row r="32" spans="2:53" s="2" customFormat="1" x14ac:dyDescent="0.2">
      <c r="B32" s="50" t="s">
        <v>21</v>
      </c>
      <c r="C32" s="34">
        <f t="shared" si="98"/>
        <v>57.722612532520252</v>
      </c>
      <c r="D32" s="34">
        <f t="shared" si="99"/>
        <v>59.321961161399869</v>
      </c>
      <c r="E32" s="34">
        <f t="shared" si="100"/>
        <v>61.285426621499596</v>
      </c>
      <c r="F32" s="34">
        <f t="shared" si="101"/>
        <v>63.667727950333692</v>
      </c>
      <c r="G32" s="34">
        <f t="shared" si="102"/>
        <v>66.482284287502722</v>
      </c>
      <c r="H32" s="34">
        <f t="shared" si="103"/>
        <v>69.779060776559277</v>
      </c>
      <c r="I32" s="34">
        <f t="shared" si="104"/>
        <v>73.621641262472139</v>
      </c>
      <c r="J32" s="34">
        <f t="shared" si="105"/>
        <v>78.093647516421427</v>
      </c>
      <c r="K32" s="34">
        <f t="shared" si="106"/>
        <v>83.249363323660958</v>
      </c>
      <c r="L32" s="34">
        <f t="shared" si="107"/>
        <v>89.192804490465221</v>
      </c>
      <c r="M32" s="34">
        <f t="shared" si="108"/>
        <v>96.03965553664375</v>
      </c>
      <c r="N32" s="34">
        <f t="shared" si="109"/>
        <v>103.94679101594907</v>
      </c>
      <c r="O32" s="14">
        <f t="shared" si="94"/>
        <v>5.8587025331927833E-2</v>
      </c>
      <c r="P32" s="4"/>
      <c r="Q32" s="33" t="str">
        <f t="shared" si="110"/>
        <v>Tree Care &amp; Landscaping</v>
      </c>
      <c r="R32" s="35">
        <f t="shared" si="92"/>
        <v>2.7707488602989994</v>
      </c>
      <c r="S32" s="35">
        <f t="shared" si="92"/>
        <v>3.3098458339191339</v>
      </c>
      <c r="T32" s="35">
        <f t="shared" si="92"/>
        <v>3.8872232113961624</v>
      </c>
      <c r="U32" s="35">
        <f t="shared" si="92"/>
        <v>4.4206954257337783</v>
      </c>
      <c r="V32" s="35">
        <f t="shared" si="92"/>
        <v>4.9588796840969618</v>
      </c>
      <c r="W32" s="35">
        <f t="shared" si="92"/>
        <v>5.5067816091954214</v>
      </c>
      <c r="X32" s="35">
        <f t="shared" si="92"/>
        <v>6.0743093705367457</v>
      </c>
      <c r="Y32" s="35">
        <f t="shared" si="92"/>
        <v>6.6019656799298554</v>
      </c>
      <c r="Z32" s="35">
        <f t="shared" si="92"/>
        <v>7.1393232686922214</v>
      </c>
      <c r="AA32" s="35">
        <f t="shared" si="92"/>
        <v>7.6764612182482317</v>
      </c>
      <c r="AB32" s="35">
        <f t="shared" si="92"/>
        <v>8.2331985002678021</v>
      </c>
      <c r="AC32" s="38"/>
      <c r="AD32" s="33" t="str">
        <f t="shared" si="111"/>
        <v>Tree Care &amp; Landscaping</v>
      </c>
      <c r="AE32" s="1">
        <v>9.2299999999999993E-2</v>
      </c>
      <c r="AF32" s="1">
        <v>9.155636363636363E-2</v>
      </c>
      <c r="AG32" s="1">
        <v>9.0812727272727267E-2</v>
      </c>
      <c r="AH32" s="1">
        <v>9.0069090909090904E-2</v>
      </c>
      <c r="AI32" s="1">
        <v>8.9325454545454541E-2</v>
      </c>
      <c r="AJ32" s="1">
        <v>8.8581818181818178E-2</v>
      </c>
      <c r="AK32" s="1">
        <v>8.7838181818181815E-2</v>
      </c>
      <c r="AL32" s="1">
        <v>8.7094545454545452E-2</v>
      </c>
      <c r="AM32" s="1">
        <v>8.6350909090909089E-2</v>
      </c>
      <c r="AN32" s="1">
        <v>8.5607272727272726E-2</v>
      </c>
      <c r="AO32" s="1">
        <v>8.4863636363636363E-2</v>
      </c>
      <c r="AP32" s="1">
        <v>8.412E-2</v>
      </c>
      <c r="AQ32" s="36"/>
      <c r="AR32" s="33" t="str">
        <f t="shared" ref="AR32" si="112">AD33</f>
        <v>Mining &amp; Industrial Maintenance</v>
      </c>
      <c r="AS32" s="7">
        <f t="shared" ref="AS32" si="113">AJ33</f>
        <v>0.18483636363636363</v>
      </c>
      <c r="AT32" s="7">
        <f t="shared" ref="AT32" si="114">AP33</f>
        <v>0.18679999999999999</v>
      </c>
    </row>
    <row r="33" spans="2:48" s="2" customFormat="1" x14ac:dyDescent="0.2">
      <c r="B33" s="50" t="s">
        <v>22</v>
      </c>
      <c r="C33" s="34">
        <f t="shared" si="98"/>
        <v>114.56969248058192</v>
      </c>
      <c r="D33" s="34">
        <f t="shared" si="99"/>
        <v>118.91251806401826</v>
      </c>
      <c r="E33" s="34">
        <f t="shared" si="100"/>
        <v>124.07516647578511</v>
      </c>
      <c r="F33" s="34">
        <f t="shared" si="101"/>
        <v>130.19380760968957</v>
      </c>
      <c r="G33" s="34">
        <f t="shared" si="102"/>
        <v>137.32463940841001</v>
      </c>
      <c r="H33" s="34">
        <f t="shared" si="103"/>
        <v>145.60220276159723</v>
      </c>
      <c r="I33" s="34">
        <f t="shared" si="104"/>
        <v>155.19504763242662</v>
      </c>
      <c r="J33" s="34">
        <f t="shared" si="105"/>
        <v>166.32111226306446</v>
      </c>
      <c r="K33" s="34">
        <f t="shared" si="106"/>
        <v>179.14397767414459</v>
      </c>
      <c r="L33" s="34">
        <f t="shared" si="107"/>
        <v>193.94187672529583</v>
      </c>
      <c r="M33" s="34">
        <f t="shared" si="108"/>
        <v>211.03003903241955</v>
      </c>
      <c r="N33" s="34">
        <f t="shared" si="109"/>
        <v>230.82810938872191</v>
      </c>
      <c r="O33" s="14">
        <f t="shared" ref="O33" si="115">((N33/H33)^(1/7)-1)*100%</f>
        <v>6.8042853605879028E-2</v>
      </c>
      <c r="P33" s="4"/>
      <c r="Q33" s="33" t="str">
        <f t="shared" ref="Q33" si="116">B33</f>
        <v>Mining &amp; Industrial Maintenance</v>
      </c>
      <c r="R33" s="35">
        <f t="shared" ref="R33" si="117">(D33/C33-1)*100</f>
        <v>3.7905535830711878</v>
      </c>
      <c r="S33" s="35">
        <f t="shared" ref="S33" si="118">(E33/D33-1)*100</f>
        <v>4.3415516682503208</v>
      </c>
      <c r="T33" s="35">
        <f t="shared" ref="T33" si="119">(F33/E33-1)*100</f>
        <v>4.931398689760047</v>
      </c>
      <c r="U33" s="35">
        <f t="shared" ref="U33" si="120">(G33/F33-1)*100</f>
        <v>5.4770898321816475</v>
      </c>
      <c r="V33" s="35">
        <f t="shared" ref="V33" si="121">(H33/G33-1)*100</f>
        <v>6.0277335435553914</v>
      </c>
      <c r="W33" s="35">
        <f t="shared" ref="W33" si="122">(I33/H33-1)*100</f>
        <v>6.5883926814873206</v>
      </c>
      <c r="X33" s="35">
        <f t="shared" ref="X33" si="123">(J33/I33-1)*100</f>
        <v>7.1690848389630801</v>
      </c>
      <c r="Y33" s="35">
        <f t="shared" ref="Y33" si="124">(K33/J33-1)*100</f>
        <v>7.709703979611815</v>
      </c>
      <c r="Z33" s="35">
        <f t="shared" ref="Z33" si="125">(L33/K33-1)*100</f>
        <v>8.2603385518591033</v>
      </c>
      <c r="AA33" s="35">
        <f t="shared" ref="AA33" si="126">(M33/L33-1)*100</f>
        <v>8.8109708927524899</v>
      </c>
      <c r="AB33" s="35">
        <f t="shared" ref="AB33" si="127">(N33/M33-1)*100</f>
        <v>9.3816361154446248</v>
      </c>
      <c r="AC33" s="38"/>
      <c r="AD33" s="33" t="str">
        <f t="shared" ref="AD33" si="128">Q33</f>
        <v>Mining &amp; Industrial Maintenance</v>
      </c>
      <c r="AE33" s="1">
        <v>0.1832</v>
      </c>
      <c r="AF33" s="1">
        <v>0.18352727272727273</v>
      </c>
      <c r="AG33" s="1">
        <v>0.18385454545454544</v>
      </c>
      <c r="AH33" s="1">
        <v>0.18418181818181817</v>
      </c>
      <c r="AI33" s="1">
        <v>0.1845090909090909</v>
      </c>
      <c r="AJ33" s="1">
        <v>0.18483636363636363</v>
      </c>
      <c r="AK33" s="1">
        <v>0.18516363636363636</v>
      </c>
      <c r="AL33" s="1">
        <v>0.1854909090909091</v>
      </c>
      <c r="AM33" s="1">
        <v>0.1858181818181818</v>
      </c>
      <c r="AN33" s="1">
        <v>0.18614545454545453</v>
      </c>
      <c r="AO33" s="1">
        <v>0.18647272727272726</v>
      </c>
      <c r="AP33" s="1">
        <v>0.18679999999999999</v>
      </c>
      <c r="AQ33" s="36"/>
      <c r="AR33" s="33" t="str">
        <f t="shared" ref="AR33:AR34" si="129">AD34</f>
        <v>Facility Management &amp; Warehousing</v>
      </c>
      <c r="AS33" s="7">
        <f t="shared" ref="AS33:AS34" si="130">AJ34</f>
        <v>0.11725454545454546</v>
      </c>
      <c r="AT33" s="7">
        <f t="shared" ref="AT33:AT34" si="131">AP34</f>
        <v>0.11360000000000001</v>
      </c>
    </row>
    <row r="34" spans="2:48" s="2" customFormat="1" x14ac:dyDescent="0.2">
      <c r="B34" s="50" t="s">
        <v>23</v>
      </c>
      <c r="C34" s="34">
        <f t="shared" si="98"/>
        <v>75.233264221692167</v>
      </c>
      <c r="D34" s="34">
        <f t="shared" si="99"/>
        <v>77.551130019361224</v>
      </c>
      <c r="E34" s="34">
        <f t="shared" si="100"/>
        <v>80.362965074481266</v>
      </c>
      <c r="F34" s="34">
        <f t="shared" si="101"/>
        <v>83.745592338078708</v>
      </c>
      <c r="G34" s="34">
        <f t="shared" si="102"/>
        <v>87.722405889339569</v>
      </c>
      <c r="H34" s="34">
        <f t="shared" si="103"/>
        <v>92.365591738101571</v>
      </c>
      <c r="I34" s="34">
        <f t="shared" si="104"/>
        <v>97.766479584233409</v>
      </c>
      <c r="J34" s="34">
        <f t="shared" si="105"/>
        <v>104.04443623435378</v>
      </c>
      <c r="K34" s="34">
        <f t="shared" si="106"/>
        <v>111.28136421372866</v>
      </c>
      <c r="L34" s="34">
        <f t="shared" si="107"/>
        <v>119.62716854075437</v>
      </c>
      <c r="M34" s="34">
        <f t="shared" si="108"/>
        <v>129.24972603180026</v>
      </c>
      <c r="N34" s="34">
        <f t="shared" si="109"/>
        <v>140.37512433917993</v>
      </c>
      <c r="O34" s="14">
        <f t="shared" ref="O34:O35" si="132">((N34/H34)^(1/7)-1)*100%</f>
        <v>6.1618706324619854E-2</v>
      </c>
      <c r="P34" s="4"/>
      <c r="Q34" s="33" t="str">
        <f t="shared" ref="Q34:Q35" si="133">B34</f>
        <v>Facility Management &amp; Warehousing</v>
      </c>
      <c r="R34" s="35">
        <f t="shared" ref="R34:R35" si="134">(D34/C34-1)*100</f>
        <v>3.0809055298184784</v>
      </c>
      <c r="S34" s="35">
        <f t="shared" ref="S34:S35" si="135">(E34/D34-1)*100</f>
        <v>3.6257821832100356</v>
      </c>
      <c r="T34" s="35">
        <f t="shared" ref="T34:T35" si="136">(F34/E34-1)*100</f>
        <v>4.2091867322993748</v>
      </c>
      <c r="U34" s="35">
        <f t="shared" ref="U34:U35" si="137">(G34/F34-1)*100</f>
        <v>4.7486840085942283</v>
      </c>
      <c r="V34" s="35">
        <f t="shared" ref="V34:V35" si="138">(H34/G34-1)*100</f>
        <v>5.293044350173548</v>
      </c>
      <c r="W34" s="35">
        <f t="shared" ref="W34:W35" si="139">(I34/H34-1)*100</f>
        <v>5.8472941541324319</v>
      </c>
      <c r="X34" s="35">
        <f t="shared" ref="X34:X35" si="140">(J34/I34-1)*100</f>
        <v>6.4213794715922257</v>
      </c>
      <c r="Y34" s="35">
        <f t="shared" ref="Y34:Y35" si="141">(K34/J34-1)*100</f>
        <v>6.9556126606079571</v>
      </c>
      <c r="Z34" s="35">
        <f t="shared" ref="Z34:Z35" si="142">(L34/K34-1)*100</f>
        <v>7.4997322202095207</v>
      </c>
      <c r="AA34" s="35">
        <f t="shared" ref="AA34:AA35" si="143">(M34/L34-1)*100</f>
        <v>8.04378939034045</v>
      </c>
      <c r="AB34" s="35">
        <f t="shared" ref="AB34:AB35" si="144">(N34/M34-1)*100</f>
        <v>8.6076765103876518</v>
      </c>
      <c r="AC34" s="38"/>
      <c r="AD34" s="33" t="str">
        <f t="shared" ref="AD34:AD35" si="145">Q34</f>
        <v>Facility Management &amp; Warehousing</v>
      </c>
      <c r="AE34" s="1">
        <v>0.1203</v>
      </c>
      <c r="AF34" s="1">
        <v>0.1196909090909091</v>
      </c>
      <c r="AG34" s="1">
        <v>0.11908181818181818</v>
      </c>
      <c r="AH34" s="1">
        <v>0.11847272727272727</v>
      </c>
      <c r="AI34" s="1">
        <v>0.11786363636363636</v>
      </c>
      <c r="AJ34" s="1">
        <v>0.11725454545454546</v>
      </c>
      <c r="AK34" s="1">
        <v>0.11664545454545455</v>
      </c>
      <c r="AL34" s="1">
        <v>0.11603636363636363</v>
      </c>
      <c r="AM34" s="1">
        <v>0.11542727272727273</v>
      </c>
      <c r="AN34" s="1">
        <v>0.11481818181818182</v>
      </c>
      <c r="AO34" s="1">
        <v>0.11420909090909091</v>
      </c>
      <c r="AP34" s="1">
        <v>0.11360000000000001</v>
      </c>
      <c r="AQ34" s="36"/>
      <c r="AR34" s="33" t="str">
        <f t="shared" si="129"/>
        <v>Others</v>
      </c>
      <c r="AS34" s="7">
        <f t="shared" si="130"/>
        <v>6.369090909090909E-2</v>
      </c>
      <c r="AT34" s="7">
        <f t="shared" si="131"/>
        <v>5.8399999999999994E-2</v>
      </c>
    </row>
    <row r="35" spans="2:48" s="2" customFormat="1" x14ac:dyDescent="0.2">
      <c r="B35" s="50" t="s">
        <v>5</v>
      </c>
      <c r="C35" s="34">
        <f t="shared" si="98"/>
        <v>42.588406429735961</v>
      </c>
      <c r="D35" s="34">
        <f t="shared" si="99"/>
        <v>43.552563828281698</v>
      </c>
      <c r="E35" s="34">
        <f t="shared" si="100"/>
        <v>44.767429280745837</v>
      </c>
      <c r="F35" s="34">
        <f t="shared" si="101"/>
        <v>46.26828305971199</v>
      </c>
      <c r="G35" s="34">
        <f t="shared" si="102"/>
        <v>48.059564136674041</v>
      </c>
      <c r="H35" s="34">
        <f t="shared" si="103"/>
        <v>50.17160301730032</v>
      </c>
      <c r="I35" s="34">
        <f t="shared" si="104"/>
        <v>52.643489006894896</v>
      </c>
      <c r="J35" s="34">
        <f t="shared" si="105"/>
        <v>55.527318993138351</v>
      </c>
      <c r="K35" s="34">
        <f t="shared" si="106"/>
        <v>58.852828281892414</v>
      </c>
      <c r="L35" s="34">
        <f t="shared" si="107"/>
        <v>62.683499715179124</v>
      </c>
      <c r="M35" s="34">
        <f t="shared" si="108"/>
        <v>67.08886917562441</v>
      </c>
      <c r="N35" s="34">
        <f t="shared" si="109"/>
        <v>72.164676596902353</v>
      </c>
      <c r="O35" s="14">
        <f t="shared" si="132"/>
        <v>5.3300728680917064E-2</v>
      </c>
      <c r="P35" s="4"/>
      <c r="Q35" s="33" t="str">
        <f t="shared" si="133"/>
        <v>Others</v>
      </c>
      <c r="R35" s="35">
        <f t="shared" si="134"/>
        <v>2.2638963966318926</v>
      </c>
      <c r="S35" s="35">
        <f t="shared" si="135"/>
        <v>2.7894235050181848</v>
      </c>
      <c r="T35" s="35">
        <f t="shared" si="136"/>
        <v>3.3525574353487908</v>
      </c>
      <c r="U35" s="35">
        <f t="shared" si="137"/>
        <v>3.8715097222222328</v>
      </c>
      <c r="V35" s="35">
        <f t="shared" si="138"/>
        <v>4.3946276221314973</v>
      </c>
      <c r="W35" s="35">
        <f t="shared" si="139"/>
        <v>4.92686268912359</v>
      </c>
      <c r="X35" s="35">
        <f t="shared" si="140"/>
        <v>5.4780373425966422</v>
      </c>
      <c r="Y35" s="35">
        <f t="shared" si="141"/>
        <v>5.9889606576629451</v>
      </c>
      <c r="Z35" s="35">
        <f t="shared" si="142"/>
        <v>6.5088994787788623</v>
      </c>
      <c r="AA35" s="35">
        <f t="shared" si="143"/>
        <v>7.0279570867331609</v>
      </c>
      <c r="AB35" s="35">
        <f t="shared" si="144"/>
        <v>7.565796656954471</v>
      </c>
      <c r="AC35" s="38"/>
      <c r="AD35" s="33" t="str">
        <f t="shared" si="145"/>
        <v>Others</v>
      </c>
      <c r="AE35" s="1">
        <v>6.8099999999999994E-2</v>
      </c>
      <c r="AF35" s="1">
        <v>6.7218181818181816E-2</v>
      </c>
      <c r="AG35" s="1">
        <v>6.6336363636363624E-2</v>
      </c>
      <c r="AH35" s="1">
        <v>6.5454545454545446E-2</v>
      </c>
      <c r="AI35" s="1">
        <v>6.4572727272727268E-2</v>
      </c>
      <c r="AJ35" s="1">
        <v>6.369090909090909E-2</v>
      </c>
      <c r="AK35" s="1">
        <v>6.2809090909090898E-2</v>
      </c>
      <c r="AL35" s="1">
        <v>6.192727272727272E-2</v>
      </c>
      <c r="AM35" s="1">
        <v>6.1045454545454542E-2</v>
      </c>
      <c r="AN35" s="1">
        <v>6.0163636363636357E-2</v>
      </c>
      <c r="AO35" s="1">
        <v>5.9281818181818179E-2</v>
      </c>
      <c r="AP35" s="1">
        <v>5.8399999999999994E-2</v>
      </c>
      <c r="AQ35" s="36"/>
      <c r="AR35" s="33"/>
      <c r="AS35" s="7"/>
      <c r="AT35" s="7"/>
    </row>
    <row r="36" spans="2:48" s="2" customFormat="1" x14ac:dyDescent="0.2">
      <c r="B36" s="50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14"/>
      <c r="P36" s="4"/>
      <c r="Q36" s="33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38"/>
      <c r="AD36" s="33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36"/>
      <c r="AR36" s="33"/>
      <c r="AS36" s="7"/>
      <c r="AT36" s="7"/>
    </row>
    <row r="37" spans="2:48" s="2" customFormat="1" ht="16" customHeight="1" x14ac:dyDescent="0.2"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14"/>
      <c r="P37" s="4"/>
      <c r="Q37" s="33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38"/>
      <c r="AD37" s="33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36"/>
      <c r="AR37" s="33"/>
      <c r="AS37" s="7"/>
      <c r="AT37" s="7"/>
    </row>
    <row r="38" spans="2:48" ht="15" customHeight="1" x14ac:dyDescent="0.2">
      <c r="B38" s="43" t="str">
        <f>B26</f>
        <v>Australia Elevating Work Platforms and Spider Lifts Market</v>
      </c>
      <c r="C38" s="19"/>
      <c r="D38" s="51" t="s">
        <v>1</v>
      </c>
      <c r="E38" s="51"/>
      <c r="F38" s="51"/>
      <c r="G38" s="51"/>
      <c r="H38" s="51"/>
      <c r="I38" s="51"/>
      <c r="J38" s="51"/>
      <c r="K38" s="51"/>
      <c r="L38" s="51"/>
      <c r="M38" s="51"/>
      <c r="N38" s="19"/>
      <c r="Q38" s="52" t="str">
        <f>B38</f>
        <v>Australia Elevating Work Platforms and Spider Lifts Market</v>
      </c>
      <c r="R38" s="20"/>
      <c r="S38" s="51" t="s">
        <v>2</v>
      </c>
      <c r="T38" s="51"/>
      <c r="U38" s="51"/>
      <c r="V38" s="51"/>
      <c r="W38" s="51"/>
      <c r="X38" s="51"/>
      <c r="Y38" s="51"/>
      <c r="Z38" s="51"/>
      <c r="AA38" s="51"/>
      <c r="AB38" s="51"/>
      <c r="AC38" s="38"/>
      <c r="AD38" s="52" t="s">
        <v>4</v>
      </c>
      <c r="AE38" s="21"/>
      <c r="AF38" s="53" t="s">
        <v>0</v>
      </c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R38" s="46"/>
    </row>
    <row r="39" spans="2:48" x14ac:dyDescent="0.2">
      <c r="B39" s="43"/>
      <c r="C39" s="23">
        <v>2019</v>
      </c>
      <c r="D39" s="23">
        <v>2020</v>
      </c>
      <c r="E39" s="23">
        <v>2021</v>
      </c>
      <c r="F39" s="23">
        <v>2022</v>
      </c>
      <c r="G39" s="23">
        <v>2023</v>
      </c>
      <c r="H39" s="23">
        <v>2024</v>
      </c>
      <c r="I39" s="23">
        <v>2025</v>
      </c>
      <c r="J39" s="23">
        <v>2026</v>
      </c>
      <c r="K39" s="23">
        <v>2027</v>
      </c>
      <c r="L39" s="23">
        <v>2028</v>
      </c>
      <c r="M39" s="23">
        <v>2029</v>
      </c>
      <c r="N39" s="23">
        <v>2030</v>
      </c>
      <c r="O39" s="24" t="s">
        <v>3</v>
      </c>
      <c r="Q39" s="52"/>
      <c r="R39" s="23">
        <v>2020</v>
      </c>
      <c r="S39" s="23">
        <v>2021</v>
      </c>
      <c r="T39" s="23">
        <v>2022</v>
      </c>
      <c r="U39" s="23">
        <v>2023</v>
      </c>
      <c r="V39" s="23">
        <v>2024</v>
      </c>
      <c r="W39" s="23">
        <v>2025</v>
      </c>
      <c r="X39" s="23">
        <v>2026</v>
      </c>
      <c r="Y39" s="23">
        <v>2027</v>
      </c>
      <c r="Z39" s="23">
        <v>2028</v>
      </c>
      <c r="AA39" s="23">
        <v>2029</v>
      </c>
      <c r="AB39" s="23">
        <v>2030</v>
      </c>
      <c r="AC39" s="38"/>
      <c r="AD39" s="52"/>
      <c r="AE39" s="23">
        <v>2019</v>
      </c>
      <c r="AF39" s="23">
        <v>2020</v>
      </c>
      <c r="AG39" s="23">
        <v>2021</v>
      </c>
      <c r="AH39" s="23">
        <v>2022</v>
      </c>
      <c r="AI39" s="23">
        <v>2023</v>
      </c>
      <c r="AJ39" s="23">
        <v>2024</v>
      </c>
      <c r="AK39" s="23">
        <v>2025</v>
      </c>
      <c r="AL39" s="23">
        <v>2026</v>
      </c>
      <c r="AM39" s="23">
        <v>2027</v>
      </c>
      <c r="AN39" s="23">
        <v>2028</v>
      </c>
      <c r="AO39" s="23">
        <v>2029</v>
      </c>
      <c r="AP39" s="23">
        <v>2030</v>
      </c>
      <c r="AR39" s="46"/>
    </row>
    <row r="40" spans="2:48" ht="22" customHeight="1" x14ac:dyDescent="0.2">
      <c r="B40" s="43"/>
      <c r="E40" s="18"/>
      <c r="Q40" s="52"/>
      <c r="AD40" s="52"/>
      <c r="AE40" s="25"/>
      <c r="AG40" s="18"/>
      <c r="AQ40" s="26"/>
      <c r="AR40" s="33"/>
      <c r="AS40" s="23">
        <v>2024</v>
      </c>
      <c r="AT40" s="23">
        <v>2030</v>
      </c>
      <c r="AU40" s="28"/>
      <c r="AV40" s="28"/>
    </row>
    <row r="41" spans="2:48" x14ac:dyDescent="0.2">
      <c r="B41" s="29" t="s">
        <v>24</v>
      </c>
      <c r="C41" s="32">
        <f>C7</f>
        <v>625.3804174704253</v>
      </c>
      <c r="D41" s="32">
        <f t="shared" ref="D41:N41" si="146">D7</f>
        <v>647.92832311482107</v>
      </c>
      <c r="E41" s="32">
        <f t="shared" si="146"/>
        <v>674.8550391780243</v>
      </c>
      <c r="F41" s="32">
        <f t="shared" si="146"/>
        <v>706.87654674559997</v>
      </c>
      <c r="G41" s="32">
        <f t="shared" si="146"/>
        <v>744.27031606844218</v>
      </c>
      <c r="H41" s="32">
        <f t="shared" si="146"/>
        <v>787.73570252683919</v>
      </c>
      <c r="I41" s="32">
        <f t="shared" si="146"/>
        <v>838.15078748855694</v>
      </c>
      <c r="J41" s="32">
        <f t="shared" si="146"/>
        <v>896.6537124552583</v>
      </c>
      <c r="K41" s="32">
        <f t="shared" si="146"/>
        <v>964.08207163189365</v>
      </c>
      <c r="L41" s="32">
        <f t="shared" si="146"/>
        <v>1041.8834948125875</v>
      </c>
      <c r="M41" s="32">
        <f t="shared" si="146"/>
        <v>1131.6938520654326</v>
      </c>
      <c r="N41" s="32">
        <f t="shared" si="146"/>
        <v>1235.6965170702458</v>
      </c>
      <c r="O41" s="14">
        <f>((N41/H41)^(1/7)-1)*100%</f>
        <v>6.6431689556592177E-2</v>
      </c>
      <c r="P41" s="4"/>
      <c r="Q41" s="29" t="str">
        <f>B41</f>
        <v>Customer Profile</v>
      </c>
      <c r="R41" s="20">
        <f t="shared" ref="R41:AB45" si="147">(D41/C41-1)*100</f>
        <v>3.6054703688354728</v>
      </c>
      <c r="S41" s="20">
        <f t="shared" si="147"/>
        <v>4.1558171023851731</v>
      </c>
      <c r="T41" s="20">
        <f t="shared" si="147"/>
        <v>4.7449460563527834</v>
      </c>
      <c r="U41" s="20">
        <f t="shared" si="147"/>
        <v>5.2899999999999947</v>
      </c>
      <c r="V41" s="20">
        <f t="shared" si="147"/>
        <v>5.8400000000000007</v>
      </c>
      <c r="W41" s="20">
        <f t="shared" si="147"/>
        <v>6.4000000000000057</v>
      </c>
      <c r="X41" s="20">
        <f t="shared" si="147"/>
        <v>6.9800000000000084</v>
      </c>
      <c r="Y41" s="20">
        <f t="shared" si="147"/>
        <v>7.5199999999999934</v>
      </c>
      <c r="Z41" s="20">
        <f t="shared" si="147"/>
        <v>8.07</v>
      </c>
      <c r="AA41" s="20">
        <f t="shared" si="147"/>
        <v>8.6200000000000045</v>
      </c>
      <c r="AB41" s="20">
        <f t="shared" si="147"/>
        <v>9.1900000000000084</v>
      </c>
      <c r="AD41" s="29" t="str">
        <f>Q41</f>
        <v>Customer Profile</v>
      </c>
      <c r="AE41" s="30">
        <v>1</v>
      </c>
      <c r="AF41" s="30">
        <v>1</v>
      </c>
      <c r="AG41" s="30">
        <v>1</v>
      </c>
      <c r="AH41" s="30">
        <v>1</v>
      </c>
      <c r="AI41" s="30">
        <v>1</v>
      </c>
      <c r="AJ41" s="30">
        <v>1</v>
      </c>
      <c r="AK41" s="30">
        <v>1</v>
      </c>
      <c r="AL41" s="30">
        <v>1</v>
      </c>
      <c r="AM41" s="30">
        <v>1</v>
      </c>
      <c r="AN41" s="30">
        <v>1</v>
      </c>
      <c r="AO41" s="30">
        <v>1</v>
      </c>
      <c r="AP41" s="30">
        <v>1</v>
      </c>
      <c r="AR41" s="33" t="str">
        <f>AD42</f>
        <v xml:space="preserve">Rental Companies </v>
      </c>
      <c r="AS41" s="7">
        <f>AJ42</f>
        <v>0.4248909090909091</v>
      </c>
      <c r="AT41" s="7">
        <f>AK42</f>
        <v>0.42750909090909095</v>
      </c>
    </row>
    <row r="42" spans="2:48" s="2" customFormat="1" x14ac:dyDescent="0.2">
      <c r="B42" s="33" t="s">
        <v>25</v>
      </c>
      <c r="C42" s="34">
        <f>C$41*AE42</f>
        <v>257.53165591432116</v>
      </c>
      <c r="D42" s="34">
        <f t="shared" ref="D42:N42" si="148">D$41*AF42</f>
        <v>268.51327761374762</v>
      </c>
      <c r="E42" s="34">
        <f t="shared" si="148"/>
        <v>281.439091520479</v>
      </c>
      <c r="F42" s="34">
        <f t="shared" si="148"/>
        <v>296.6439559170035</v>
      </c>
      <c r="G42" s="34">
        <f t="shared" si="148"/>
        <v>314.28505619435583</v>
      </c>
      <c r="H42" s="34">
        <f t="shared" si="148"/>
        <v>334.70173876999462</v>
      </c>
      <c r="I42" s="34">
        <f t="shared" si="148"/>
        <v>358.31708120397167</v>
      </c>
      <c r="J42" s="34">
        <f t="shared" si="148"/>
        <v>385.67521591916449</v>
      </c>
      <c r="K42" s="34">
        <f t="shared" si="148"/>
        <v>417.2021343074673</v>
      </c>
      <c r="L42" s="34">
        <f t="shared" si="148"/>
        <v>453.59818696886202</v>
      </c>
      <c r="M42" s="34">
        <f t="shared" si="148"/>
        <v>495.66133095280372</v>
      </c>
      <c r="N42" s="34">
        <f t="shared" si="148"/>
        <v>544.44788542115032</v>
      </c>
      <c r="O42" s="14">
        <f t="shared" ref="O42:O45" si="149">((N42/H42)^(1/7)-1)*100%</f>
        <v>7.1977026543322831E-2</v>
      </c>
      <c r="P42" s="4"/>
      <c r="Q42" t="str">
        <f>B42</f>
        <v xml:space="preserve">Rental Companies </v>
      </c>
      <c r="R42" s="35">
        <f t="shared" si="147"/>
        <v>4.2641832362076526</v>
      </c>
      <c r="S42" s="35">
        <f t="shared" si="147"/>
        <v>4.8138453418772764</v>
      </c>
      <c r="T42" s="35">
        <f t="shared" si="147"/>
        <v>5.4025417415825228</v>
      </c>
      <c r="U42" s="35">
        <f t="shared" si="147"/>
        <v>5.9468935488063757</v>
      </c>
      <c r="V42" s="35">
        <f t="shared" si="147"/>
        <v>6.4962307857911572</v>
      </c>
      <c r="W42" s="35">
        <f t="shared" si="147"/>
        <v>7.055637810774984</v>
      </c>
      <c r="X42" s="35">
        <f t="shared" si="147"/>
        <v>7.6351745842725416</v>
      </c>
      <c r="Y42" s="35">
        <f t="shared" si="147"/>
        <v>8.1744735173521441</v>
      </c>
      <c r="Z42" s="35">
        <f t="shared" si="147"/>
        <v>8.7238414352338367</v>
      </c>
      <c r="AA42" s="35">
        <f t="shared" si="147"/>
        <v>9.2732169555230559</v>
      </c>
      <c r="AB42" s="35">
        <f t="shared" si="147"/>
        <v>9.8427194985263089</v>
      </c>
      <c r="AC42" s="38"/>
      <c r="AD42" t="str">
        <f>Q42</f>
        <v xml:space="preserve">Rental Companies </v>
      </c>
      <c r="AE42" s="1">
        <v>0.4118</v>
      </c>
      <c r="AF42" s="1">
        <v>0.41441818181818185</v>
      </c>
      <c r="AG42" s="1">
        <v>0.41703636363636365</v>
      </c>
      <c r="AH42" s="1">
        <v>0.41965454545454545</v>
      </c>
      <c r="AI42" s="1">
        <v>0.4222727272727273</v>
      </c>
      <c r="AJ42" s="1">
        <v>0.4248909090909091</v>
      </c>
      <c r="AK42" s="1">
        <v>0.42750909090909095</v>
      </c>
      <c r="AL42" s="1">
        <v>0.43012727272727275</v>
      </c>
      <c r="AM42" s="1">
        <v>0.43274545454545454</v>
      </c>
      <c r="AN42" s="1">
        <v>0.4353636363636364</v>
      </c>
      <c r="AO42" s="1">
        <v>0.43798181818181819</v>
      </c>
      <c r="AP42" s="1">
        <v>0.44059999999999999</v>
      </c>
      <c r="AQ42" s="36"/>
      <c r="AR42" s="33" t="str">
        <f t="shared" ref="AR42:AR45" si="150">AD43</f>
        <v xml:space="preserve">Contractors </v>
      </c>
      <c r="AS42" s="7">
        <f t="shared" ref="AS42:AS45" si="151">AJ43</f>
        <v>0.27938181818181818</v>
      </c>
      <c r="AT42" s="7">
        <f t="shared" ref="AT42:AT45" si="152">AK43</f>
        <v>0.27901818181818178</v>
      </c>
    </row>
    <row r="43" spans="2:48" s="2" customFormat="1" x14ac:dyDescent="0.2">
      <c r="B43" s="33" t="s">
        <v>26</v>
      </c>
      <c r="C43" s="34">
        <f t="shared" ref="C43:C46" si="153">C$41*AE43</f>
        <v>175.85697339268359</v>
      </c>
      <c r="D43" s="34">
        <f t="shared" ref="D43:D46" si="154">D$41*AF43</f>
        <v>181.96183416057318</v>
      </c>
      <c r="E43" s="34">
        <f t="shared" ref="E43:E46" si="155">E$41*AG43</f>
        <v>189.27843335200367</v>
      </c>
      <c r="F43" s="34">
        <f t="shared" ref="F43:F46" si="156">F$41*AH43</f>
        <v>198.00254689386753</v>
      </c>
      <c r="G43" s="34">
        <f t="shared" ref="G43:G46" si="157">G$41*AI43</f>
        <v>208.20623787325547</v>
      </c>
      <c r="H43" s="34">
        <f t="shared" ref="H43:H46" si="158">H$41*AJ43</f>
        <v>220.07903281868019</v>
      </c>
      <c r="I43" s="34">
        <f t="shared" ref="I43:I46" si="159">I$41*AK43</f>
        <v>233.85930881453442</v>
      </c>
      <c r="J43" s="34">
        <f t="shared" ref="J43:J46" si="160">J$41*AL43</f>
        <v>249.85663267435069</v>
      </c>
      <c r="K43" s="34">
        <f t="shared" ref="K43:K46" si="161">K$41*AM43</f>
        <v>268.2952761526866</v>
      </c>
      <c r="L43" s="34">
        <f t="shared" ref="L43:L46" si="162">L$41*AN43</f>
        <v>289.56783821282198</v>
      </c>
      <c r="M43" s="34">
        <f t="shared" ref="M43:M46" si="163">M$41*AO43</f>
        <v>314.11706082965259</v>
      </c>
      <c r="N43" s="34">
        <f t="shared" ref="N43:N46" si="164">N$41*AP43</f>
        <v>342.53507453187217</v>
      </c>
      <c r="O43" s="14">
        <f t="shared" si="149"/>
        <v>6.5237939024747504E-2</v>
      </c>
      <c r="P43" s="4"/>
      <c r="Q43" t="str">
        <f t="shared" ref="Q43:Q45" si="165">B43</f>
        <v xml:space="preserve">Contractors </v>
      </c>
      <c r="R43" s="35">
        <f t="shared" si="147"/>
        <v>3.4714920029117025</v>
      </c>
      <c r="S43" s="35">
        <f t="shared" si="147"/>
        <v>4.0209526493198089</v>
      </c>
      <c r="T43" s="35">
        <f t="shared" si="147"/>
        <v>4.6091429368709358</v>
      </c>
      <c r="U43" s="35">
        <f t="shared" si="147"/>
        <v>5.1533129949370204</v>
      </c>
      <c r="V43" s="35">
        <f t="shared" si="147"/>
        <v>5.7024203821655961</v>
      </c>
      <c r="W43" s="35">
        <f t="shared" si="147"/>
        <v>6.2615124300403391</v>
      </c>
      <c r="X43" s="35">
        <f t="shared" si="147"/>
        <v>6.8405760458751574</v>
      </c>
      <c r="Y43" s="35">
        <f t="shared" si="147"/>
        <v>7.3796894166775262</v>
      </c>
      <c r="Z43" s="35">
        <f t="shared" si="147"/>
        <v>7.9287874036325423</v>
      </c>
      <c r="AA43" s="35">
        <f t="shared" si="147"/>
        <v>8.4778830302237438</v>
      </c>
      <c r="AB43" s="35">
        <f t="shared" si="147"/>
        <v>9.0469500851565687</v>
      </c>
      <c r="AC43" s="38"/>
      <c r="AD43" t="str">
        <f t="shared" ref="AD43:AD45" si="166">Q43</f>
        <v xml:space="preserve">Contractors </v>
      </c>
      <c r="AE43" s="1">
        <v>0.28120000000000001</v>
      </c>
      <c r="AF43" s="1">
        <v>0.28083636363636361</v>
      </c>
      <c r="AG43" s="1">
        <v>0.28047272727272726</v>
      </c>
      <c r="AH43" s="1">
        <v>0.28010909090909092</v>
      </c>
      <c r="AI43" s="1">
        <v>0.27974545454545452</v>
      </c>
      <c r="AJ43" s="1">
        <v>0.27938181818181818</v>
      </c>
      <c r="AK43" s="1">
        <v>0.27901818181818178</v>
      </c>
      <c r="AL43" s="1">
        <v>0.27865454545454543</v>
      </c>
      <c r="AM43" s="1">
        <v>0.27829090909090909</v>
      </c>
      <c r="AN43" s="1">
        <v>0.27792727272727269</v>
      </c>
      <c r="AO43" s="1">
        <v>0.27756363636363635</v>
      </c>
      <c r="AP43" s="1">
        <v>0.2772</v>
      </c>
      <c r="AQ43" s="36"/>
      <c r="AR43" s="33" t="str">
        <f t="shared" si="150"/>
        <v>Municipalities &amp; Public Sector</v>
      </c>
      <c r="AS43" s="7">
        <f t="shared" si="151"/>
        <v>0.14124545454545456</v>
      </c>
      <c r="AT43" s="7">
        <f t="shared" si="152"/>
        <v>0.14085454545454545</v>
      </c>
    </row>
    <row r="44" spans="2:48" s="2" customFormat="1" x14ac:dyDescent="0.2">
      <c r="B44" s="33" t="s">
        <v>27</v>
      </c>
      <c r="C44" s="34">
        <f t="shared" si="153"/>
        <v>89.554475781764921</v>
      </c>
      <c r="D44" s="34">
        <f t="shared" si="154"/>
        <v>92.530054798279309</v>
      </c>
      <c r="E44" s="34">
        <f t="shared" si="155"/>
        <v>96.111627670572091</v>
      </c>
      <c r="F44" s="34">
        <f t="shared" si="156"/>
        <v>100.39574808915009</v>
      </c>
      <c r="G44" s="34">
        <f t="shared" si="157"/>
        <v>105.41574113042118</v>
      </c>
      <c r="H44" s="34">
        <f t="shared" si="158"/>
        <v>111.26408736508638</v>
      </c>
      <c r="I44" s="34">
        <f t="shared" si="159"/>
        <v>118.05734819407002</v>
      </c>
      <c r="J44" s="34">
        <f t="shared" si="160"/>
        <v>125.94724101041997</v>
      </c>
      <c r="K44" s="34">
        <f t="shared" si="161"/>
        <v>135.04160508822017</v>
      </c>
      <c r="L44" s="34">
        <f t="shared" si="162"/>
        <v>145.53218088904916</v>
      </c>
      <c r="M44" s="34">
        <f t="shared" si="163"/>
        <v>157.63466546678691</v>
      </c>
      <c r="N44" s="34">
        <f t="shared" si="164"/>
        <v>171.63824622105719</v>
      </c>
      <c r="O44" s="14">
        <f t="shared" si="149"/>
        <v>6.3883690611590271E-2</v>
      </c>
      <c r="P44" s="4"/>
      <c r="Q44" t="str">
        <f t="shared" si="165"/>
        <v>Municipalities &amp; Public Sector</v>
      </c>
      <c r="R44" s="35">
        <f t="shared" si="147"/>
        <v>3.3226469035066097</v>
      </c>
      <c r="S44" s="35">
        <f t="shared" si="147"/>
        <v>3.8707130133023293</v>
      </c>
      <c r="T44" s="35">
        <f t="shared" si="147"/>
        <v>4.4574423744669689</v>
      </c>
      <c r="U44" s="35">
        <f t="shared" si="147"/>
        <v>5.0002048262177468</v>
      </c>
      <c r="V44" s="35">
        <f t="shared" si="147"/>
        <v>5.5478870346598264</v>
      </c>
      <c r="W44" s="35">
        <f t="shared" si="147"/>
        <v>6.1055287378515732</v>
      </c>
      <c r="X44" s="35">
        <f t="shared" si="147"/>
        <v>6.6831018458758384</v>
      </c>
      <c r="Y44" s="35">
        <f t="shared" si="147"/>
        <v>7.2207727655167808</v>
      </c>
      <c r="Z44" s="35">
        <f t="shared" si="147"/>
        <v>7.768402777777772</v>
      </c>
      <c r="AA44" s="35">
        <f t="shared" si="147"/>
        <v>8.3160195248942479</v>
      </c>
      <c r="AB44" s="35">
        <f t="shared" si="147"/>
        <v>8.8835667667406462</v>
      </c>
      <c r="AC44" s="38"/>
      <c r="AD44" t="str">
        <f t="shared" si="166"/>
        <v>Municipalities &amp; Public Sector</v>
      </c>
      <c r="AE44" s="1">
        <v>0.14320000000000002</v>
      </c>
      <c r="AF44" s="1">
        <v>0.14280909090909091</v>
      </c>
      <c r="AG44" s="1">
        <v>0.14241818181818183</v>
      </c>
      <c r="AH44" s="1">
        <v>0.14202727272727275</v>
      </c>
      <c r="AI44" s="1">
        <v>0.14163636363636364</v>
      </c>
      <c r="AJ44" s="1">
        <v>0.14124545454545456</v>
      </c>
      <c r="AK44" s="1">
        <v>0.14085454545454545</v>
      </c>
      <c r="AL44" s="1">
        <v>0.14046363636363637</v>
      </c>
      <c r="AM44" s="1">
        <v>0.14007272727272729</v>
      </c>
      <c r="AN44" s="1">
        <v>0.13968181818181818</v>
      </c>
      <c r="AO44" s="1">
        <v>0.1392909090909091</v>
      </c>
      <c r="AP44" s="1">
        <v>0.13890000000000002</v>
      </c>
      <c r="AQ44" s="36"/>
      <c r="AR44" s="33" t="str">
        <f t="shared" si="150"/>
        <v>Facility Owners &amp; Property Managers</v>
      </c>
      <c r="AS44" s="7">
        <f t="shared" si="151"/>
        <v>9.3327272727272745E-2</v>
      </c>
      <c r="AT44" s="7">
        <f t="shared" si="152"/>
        <v>9.247272727272729E-2</v>
      </c>
    </row>
    <row r="45" spans="2:48" s="2" customFormat="1" x14ac:dyDescent="0.2">
      <c r="B45" s="33" t="s">
        <v>28</v>
      </c>
      <c r="C45" s="34">
        <f t="shared" si="153"/>
        <v>61.03712874511352</v>
      </c>
      <c r="D45" s="34">
        <f t="shared" si="154"/>
        <v>62.684120132617522</v>
      </c>
      <c r="E45" s="34">
        <f t="shared" si="155"/>
        <v>64.712463211361836</v>
      </c>
      <c r="F45" s="34">
        <f t="shared" si="156"/>
        <v>67.178976542531856</v>
      </c>
      <c r="G45" s="34">
        <f t="shared" si="157"/>
        <v>70.096731586082385</v>
      </c>
      <c r="H45" s="34">
        <f t="shared" si="158"/>
        <v>73.517224746732111</v>
      </c>
      <c r="I45" s="34">
        <f t="shared" si="159"/>
        <v>77.506089184850936</v>
      </c>
      <c r="J45" s="34">
        <f t="shared" si="160"/>
        <v>82.149782855673593</v>
      </c>
      <c r="K45" s="34">
        <f t="shared" si="161"/>
        <v>87.503594574298432</v>
      </c>
      <c r="L45" s="34">
        <f t="shared" si="162"/>
        <v>93.674797851786295</v>
      </c>
      <c r="M45" s="34">
        <f t="shared" si="163"/>
        <v>100.78248158939073</v>
      </c>
      <c r="N45" s="34">
        <f t="shared" si="164"/>
        <v>108.98843280559569</v>
      </c>
      <c r="O45" s="14">
        <f t="shared" si="149"/>
        <v>5.7857888773401589E-2</v>
      </c>
      <c r="P45" s="4"/>
      <c r="Q45" t="str">
        <f t="shared" si="165"/>
        <v>Facility Owners &amp; Property Managers</v>
      </c>
      <c r="R45" s="35">
        <f t="shared" si="147"/>
        <v>2.6983434859488842</v>
      </c>
      <c r="S45" s="35">
        <f t="shared" si="147"/>
        <v>3.2358164626911101</v>
      </c>
      <c r="T45" s="35">
        <f t="shared" si="147"/>
        <v>3.8114965939620715</v>
      </c>
      <c r="U45" s="35">
        <f t="shared" si="147"/>
        <v>4.3432561698871108</v>
      </c>
      <c r="V45" s="35">
        <f t="shared" si="147"/>
        <v>4.8796756756756654</v>
      </c>
      <c r="W45" s="35">
        <f t="shared" si="147"/>
        <v>5.4257549191506049</v>
      </c>
      <c r="X45" s="35">
        <f t="shared" si="147"/>
        <v>5.9913920566260437</v>
      </c>
      <c r="Y45" s="35">
        <f t="shared" si="147"/>
        <v>6.517134352053966</v>
      </c>
      <c r="Z45" s="35">
        <f t="shared" si="147"/>
        <v>7.0525140224358962</v>
      </c>
      <c r="AA45" s="35">
        <f t="shared" si="147"/>
        <v>7.5876157735085936</v>
      </c>
      <c r="AB45" s="35">
        <f t="shared" si="147"/>
        <v>8.1422396896692284</v>
      </c>
      <c r="AC45" s="38"/>
      <c r="AD45" t="str">
        <f t="shared" si="166"/>
        <v>Facility Owners &amp; Property Managers</v>
      </c>
      <c r="AE45" s="1">
        <v>9.760000000000002E-2</v>
      </c>
      <c r="AF45" s="1">
        <v>9.6745454545454565E-2</v>
      </c>
      <c r="AG45" s="1">
        <v>9.589090909090911E-2</v>
      </c>
      <c r="AH45" s="1">
        <v>9.5036363636363655E-2</v>
      </c>
      <c r="AI45" s="1">
        <v>9.41818181818182E-2</v>
      </c>
      <c r="AJ45" s="1">
        <v>9.3327272727272745E-2</v>
      </c>
      <c r="AK45" s="1">
        <v>9.247272727272729E-2</v>
      </c>
      <c r="AL45" s="1">
        <v>9.1618181818181835E-2</v>
      </c>
      <c r="AM45" s="1">
        <v>9.076363636363638E-2</v>
      </c>
      <c r="AN45" s="1">
        <v>8.9909090909090925E-2</v>
      </c>
      <c r="AO45" s="1">
        <v>8.905454545454547E-2</v>
      </c>
      <c r="AP45" s="1">
        <v>8.8200000000000014E-2</v>
      </c>
      <c r="AQ45" s="36"/>
      <c r="AR45" s="33" t="str">
        <f t="shared" si="150"/>
        <v>Others</v>
      </c>
      <c r="AS45" s="7">
        <f t="shared" si="151"/>
        <v>6.1154545454545448E-2</v>
      </c>
      <c r="AT45" s="7">
        <f t="shared" si="152"/>
        <v>6.0145454545454537E-2</v>
      </c>
    </row>
    <row r="46" spans="2:48" s="2" customFormat="1" x14ac:dyDescent="0.2">
      <c r="B46" s="33" t="s">
        <v>5</v>
      </c>
      <c r="C46" s="34">
        <f t="shared" si="153"/>
        <v>41.400183636542152</v>
      </c>
      <c r="D46" s="34">
        <f t="shared" si="154"/>
        <v>42.239036409603465</v>
      </c>
      <c r="E46" s="34">
        <f t="shared" si="155"/>
        <v>43.313423423607738</v>
      </c>
      <c r="F46" s="34">
        <f t="shared" si="156"/>
        <v>44.655319303047037</v>
      </c>
      <c r="G46" s="34">
        <f t="shared" si="157"/>
        <v>46.26654928432734</v>
      </c>
      <c r="H46" s="34">
        <f t="shared" si="158"/>
        <v>48.17361882634588</v>
      </c>
      <c r="I46" s="34">
        <f t="shared" si="159"/>
        <v>50.41096009112993</v>
      </c>
      <c r="J46" s="34">
        <f t="shared" si="160"/>
        <v>53.024839995649593</v>
      </c>
      <c r="K46" s="34">
        <f t="shared" si="161"/>
        <v>56.039461509221155</v>
      </c>
      <c r="L46" s="34">
        <f t="shared" si="162"/>
        <v>59.51049089006807</v>
      </c>
      <c r="M46" s="34">
        <f t="shared" si="163"/>
        <v>63.498313226798629</v>
      </c>
      <c r="N46" s="34">
        <f t="shared" si="164"/>
        <v>68.086878090570536</v>
      </c>
      <c r="O46" s="14">
        <f t="shared" ref="O46" si="167">((N46/H46)^(1/7)-1)*100%</f>
        <v>5.0666483766284909E-2</v>
      </c>
      <c r="P46" s="4"/>
      <c r="Q46" t="str">
        <f t="shared" ref="Q46" si="168">B46</f>
        <v>Others</v>
      </c>
      <c r="R46" s="35">
        <f t="shared" ref="R46" si="169">(D46/C46-1)*100</f>
        <v>2.0262054401152252</v>
      </c>
      <c r="S46" s="35">
        <f t="shared" ref="S46" si="170">(E46/D46-1)*100</f>
        <v>2.5435878877199114</v>
      </c>
      <c r="T46" s="35">
        <f t="shared" ref="T46" si="171">(F46/E46-1)*100</f>
        <v>3.098106252917221</v>
      </c>
      <c r="U46" s="35">
        <f t="shared" ref="U46" si="172">(G46/F46-1)*100</f>
        <v>3.608147934954653</v>
      </c>
      <c r="V46" s="35">
        <f t="shared" ref="V46" si="173">(H46/G46-1)*100</f>
        <v>4.1219186896753301</v>
      </c>
      <c r="W46" s="35">
        <f t="shared" ref="W46" si="174">(I46/H46-1)*100</f>
        <v>4.6443288241415193</v>
      </c>
      <c r="X46" s="35">
        <f t="shared" ref="X46" si="175">(J46/I46-1)*100</f>
        <v>5.1851420798065373</v>
      </c>
      <c r="Y46" s="35">
        <f t="shared" ref="Y46" si="176">(K46/J46-1)*100</f>
        <v>5.6853005380476329</v>
      </c>
      <c r="Z46" s="35">
        <f t="shared" ref="Z46" si="177">(L46/K46-1)*100</f>
        <v>6.1939020957147539</v>
      </c>
      <c r="AA46" s="35">
        <f t="shared" ref="AA46" si="178">(M46/L46-1)*100</f>
        <v>6.7010409040267227</v>
      </c>
      <c r="AB46" s="35">
        <f t="shared" ref="AB46" si="179">(N46/M46-1)*100</f>
        <v>7.2262783538561193</v>
      </c>
      <c r="AC46" s="38"/>
      <c r="AD46" t="str">
        <f t="shared" ref="AD46" si="180">Q46</f>
        <v>Others</v>
      </c>
      <c r="AE46" s="1">
        <v>6.6199999999999995E-2</v>
      </c>
      <c r="AF46" s="1">
        <v>6.5190909090909077E-2</v>
      </c>
      <c r="AG46" s="1">
        <v>6.4181818181818173E-2</v>
      </c>
      <c r="AH46" s="1">
        <v>6.3172727272727269E-2</v>
      </c>
      <c r="AI46" s="1">
        <v>6.2163636363636358E-2</v>
      </c>
      <c r="AJ46" s="1">
        <v>6.1154545454545448E-2</v>
      </c>
      <c r="AK46" s="1">
        <v>6.0145454545454537E-2</v>
      </c>
      <c r="AL46" s="1">
        <v>5.9136363636363633E-2</v>
      </c>
      <c r="AM46" s="1">
        <v>5.8127272727272722E-2</v>
      </c>
      <c r="AN46" s="1">
        <v>5.7118181818181818E-2</v>
      </c>
      <c r="AO46" s="1">
        <v>5.6109090909090907E-2</v>
      </c>
      <c r="AP46" s="1">
        <v>5.5099999999999996E-2</v>
      </c>
      <c r="AQ46" s="36"/>
      <c r="AR46" s="33"/>
      <c r="AS46" s="7"/>
      <c r="AT46" s="7"/>
    </row>
    <row r="47" spans="2:48" s="2" customFormat="1" x14ac:dyDescent="0.2"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14"/>
      <c r="P47" s="4"/>
      <c r="Q47" s="33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38"/>
      <c r="AD47" s="33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36"/>
      <c r="AR47" s="33"/>
      <c r="AS47" s="7"/>
      <c r="AT47" s="7"/>
    </row>
    <row r="48" spans="2:48" s="2" customFormat="1" x14ac:dyDescent="0.2"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14"/>
      <c r="P48" s="4"/>
      <c r="Q48" s="33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38"/>
      <c r="AD48" s="33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36"/>
      <c r="AR48" s="33"/>
      <c r="AS48" s="7"/>
      <c r="AT48" s="7"/>
    </row>
    <row r="49" spans="2:48" ht="15" customHeight="1" x14ac:dyDescent="0.2">
      <c r="B49" s="43" t="str">
        <f>B38</f>
        <v>Australia Elevating Work Platforms and Spider Lifts Market</v>
      </c>
      <c r="C49" s="19"/>
      <c r="D49" s="51" t="s">
        <v>1</v>
      </c>
      <c r="E49" s="51"/>
      <c r="F49" s="51"/>
      <c r="G49" s="51"/>
      <c r="H49" s="51"/>
      <c r="I49" s="51"/>
      <c r="J49" s="51"/>
      <c r="K49" s="51"/>
      <c r="L49" s="51"/>
      <c r="M49" s="51"/>
      <c r="N49" s="19"/>
      <c r="Q49" s="52" t="str">
        <f>B49</f>
        <v>Australia Elevating Work Platforms and Spider Lifts Market</v>
      </c>
      <c r="R49" s="20"/>
      <c r="S49" s="51" t="s">
        <v>2</v>
      </c>
      <c r="T49" s="51"/>
      <c r="U49" s="51"/>
      <c r="V49" s="51"/>
      <c r="W49" s="51"/>
      <c r="X49" s="51"/>
      <c r="Y49" s="51"/>
      <c r="Z49" s="51"/>
      <c r="AA49" s="51"/>
      <c r="AB49" s="51"/>
      <c r="AC49" s="38"/>
      <c r="AD49" s="52" t="s">
        <v>4</v>
      </c>
      <c r="AE49" s="21"/>
      <c r="AF49" s="53" t="s">
        <v>0</v>
      </c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R49" s="46"/>
    </row>
    <row r="50" spans="2:48" x14ac:dyDescent="0.2">
      <c r="B50" s="43"/>
      <c r="C50" s="23">
        <v>2019</v>
      </c>
      <c r="D50" s="23">
        <v>2020</v>
      </c>
      <c r="E50" s="23">
        <v>2021</v>
      </c>
      <c r="F50" s="23">
        <v>2022</v>
      </c>
      <c r="G50" s="23">
        <v>2023</v>
      </c>
      <c r="H50" s="23">
        <v>2024</v>
      </c>
      <c r="I50" s="23">
        <v>2025</v>
      </c>
      <c r="J50" s="23">
        <v>2026</v>
      </c>
      <c r="K50" s="23">
        <v>2027</v>
      </c>
      <c r="L50" s="23">
        <v>2028</v>
      </c>
      <c r="M50" s="23">
        <v>2029</v>
      </c>
      <c r="N50" s="23">
        <v>2030</v>
      </c>
      <c r="O50" s="24" t="s">
        <v>3</v>
      </c>
      <c r="Q50" s="52"/>
      <c r="R50" s="23">
        <v>2020</v>
      </c>
      <c r="S50" s="23">
        <v>2021</v>
      </c>
      <c r="T50" s="23">
        <v>2022</v>
      </c>
      <c r="U50" s="23">
        <v>2023</v>
      </c>
      <c r="V50" s="23">
        <v>2024</v>
      </c>
      <c r="W50" s="23">
        <v>2025</v>
      </c>
      <c r="X50" s="23">
        <v>2026</v>
      </c>
      <c r="Y50" s="23">
        <v>2027</v>
      </c>
      <c r="Z50" s="23">
        <v>2028</v>
      </c>
      <c r="AA50" s="23">
        <v>2029</v>
      </c>
      <c r="AB50" s="23">
        <v>2030</v>
      </c>
      <c r="AC50" s="38"/>
      <c r="AD50" s="52"/>
      <c r="AE50" s="23">
        <v>2019</v>
      </c>
      <c r="AF50" s="23">
        <v>2020</v>
      </c>
      <c r="AG50" s="23">
        <v>2021</v>
      </c>
      <c r="AH50" s="23">
        <v>2022</v>
      </c>
      <c r="AI50" s="23">
        <v>2023</v>
      </c>
      <c r="AJ50" s="23">
        <v>2024</v>
      </c>
      <c r="AK50" s="23">
        <v>2025</v>
      </c>
      <c r="AL50" s="23">
        <v>2026</v>
      </c>
      <c r="AM50" s="23">
        <v>2027</v>
      </c>
      <c r="AN50" s="23">
        <v>2028</v>
      </c>
      <c r="AO50" s="23">
        <v>2029</v>
      </c>
      <c r="AP50" s="23">
        <v>2030</v>
      </c>
      <c r="AR50" s="46"/>
    </row>
    <row r="51" spans="2:48" ht="22" customHeight="1" x14ac:dyDescent="0.2">
      <c r="B51" s="43"/>
      <c r="E51" s="18"/>
      <c r="Q51" s="52"/>
      <c r="AD51" s="52"/>
      <c r="AE51" s="25"/>
      <c r="AG51" s="18"/>
      <c r="AQ51" s="26"/>
      <c r="AR51" s="33"/>
      <c r="AS51" s="23">
        <v>2024</v>
      </c>
      <c r="AT51" s="23">
        <v>2030</v>
      </c>
      <c r="AU51" s="28"/>
      <c r="AV51" s="28"/>
    </row>
    <row r="52" spans="2:48" x14ac:dyDescent="0.2">
      <c r="B52" s="29" t="s">
        <v>33</v>
      </c>
      <c r="C52" s="32">
        <f>C7</f>
        <v>625.3804174704253</v>
      </c>
      <c r="D52" s="32">
        <f t="shared" ref="D52:N52" si="181">D7</f>
        <v>647.92832311482107</v>
      </c>
      <c r="E52" s="32">
        <f t="shared" si="181"/>
        <v>674.8550391780243</v>
      </c>
      <c r="F52" s="32">
        <f t="shared" si="181"/>
        <v>706.87654674559997</v>
      </c>
      <c r="G52" s="32">
        <f t="shared" si="181"/>
        <v>744.27031606844218</v>
      </c>
      <c r="H52" s="32">
        <f t="shared" si="181"/>
        <v>787.73570252683919</v>
      </c>
      <c r="I52" s="32">
        <f t="shared" si="181"/>
        <v>838.15078748855694</v>
      </c>
      <c r="J52" s="32">
        <f t="shared" si="181"/>
        <v>896.6537124552583</v>
      </c>
      <c r="K52" s="32">
        <f t="shared" si="181"/>
        <v>964.08207163189365</v>
      </c>
      <c r="L52" s="32">
        <f t="shared" si="181"/>
        <v>1041.8834948125875</v>
      </c>
      <c r="M52" s="32">
        <f t="shared" si="181"/>
        <v>1131.6938520654326</v>
      </c>
      <c r="N52" s="32">
        <f t="shared" si="181"/>
        <v>1235.6965170702458</v>
      </c>
      <c r="O52" s="14">
        <f>((N52/H52)^(1/7)-1)*100%</f>
        <v>6.6431689556592177E-2</v>
      </c>
      <c r="P52" s="4"/>
      <c r="Q52" s="29" t="str">
        <f>B52</f>
        <v>Distribution &amp; Sales Model</v>
      </c>
      <c r="R52" s="20">
        <f t="shared" ref="R52:R54" si="182">(D52/C52-1)*100</f>
        <v>3.6054703688354728</v>
      </c>
      <c r="S52" s="20">
        <f t="shared" ref="S52:S54" si="183">(E52/D52-1)*100</f>
        <v>4.1558171023851731</v>
      </c>
      <c r="T52" s="20">
        <f t="shared" ref="T52:T54" si="184">(F52/E52-1)*100</f>
        <v>4.7449460563527834</v>
      </c>
      <c r="U52" s="20">
        <f t="shared" ref="U52:U54" si="185">(G52/F52-1)*100</f>
        <v>5.2899999999999947</v>
      </c>
      <c r="V52" s="20">
        <f t="shared" ref="V52:V54" si="186">(H52/G52-1)*100</f>
        <v>5.8400000000000007</v>
      </c>
      <c r="W52" s="20">
        <f t="shared" ref="W52:W54" si="187">(I52/H52-1)*100</f>
        <v>6.4000000000000057</v>
      </c>
      <c r="X52" s="20">
        <f t="shared" ref="X52:X54" si="188">(J52/I52-1)*100</f>
        <v>6.9800000000000084</v>
      </c>
      <c r="Y52" s="20">
        <f t="shared" ref="Y52:Y54" si="189">(K52/J52-1)*100</f>
        <v>7.5199999999999934</v>
      </c>
      <c r="Z52" s="20">
        <f t="shared" ref="Z52:Z54" si="190">(L52/K52-1)*100</f>
        <v>8.07</v>
      </c>
      <c r="AA52" s="20">
        <f t="shared" ref="AA52:AA54" si="191">(M52/L52-1)*100</f>
        <v>8.6200000000000045</v>
      </c>
      <c r="AB52" s="20">
        <f t="shared" ref="AB52:AB54" si="192">(N52/M52-1)*100</f>
        <v>9.1900000000000084</v>
      </c>
      <c r="AD52" s="29" t="str">
        <f>Q52</f>
        <v>Distribution &amp; Sales Model</v>
      </c>
      <c r="AE52" s="30">
        <v>1</v>
      </c>
      <c r="AF52" s="30">
        <v>1</v>
      </c>
      <c r="AG52" s="30">
        <v>1</v>
      </c>
      <c r="AH52" s="30">
        <v>1</v>
      </c>
      <c r="AI52" s="30">
        <v>1</v>
      </c>
      <c r="AJ52" s="30">
        <v>1</v>
      </c>
      <c r="AK52" s="30">
        <v>1</v>
      </c>
      <c r="AL52" s="30">
        <v>1</v>
      </c>
      <c r="AM52" s="30">
        <v>1</v>
      </c>
      <c r="AN52" s="30">
        <v>1</v>
      </c>
      <c r="AO52" s="30">
        <v>1</v>
      </c>
      <c r="AP52" s="30">
        <v>1</v>
      </c>
      <c r="AR52" s="33" t="str">
        <f>AD53</f>
        <v>Direct Sales</v>
      </c>
      <c r="AS52" s="7">
        <f>AJ53</f>
        <v>0.16237272727272728</v>
      </c>
      <c r="AT52" s="7">
        <f>AP53</f>
        <v>0.16030000000000003</v>
      </c>
    </row>
    <row r="53" spans="2:48" s="2" customFormat="1" x14ac:dyDescent="0.2">
      <c r="B53" s="33" t="s">
        <v>29</v>
      </c>
      <c r="C53" s="34">
        <f>C$52*AE53</f>
        <v>102.62492650689681</v>
      </c>
      <c r="D53" s="34">
        <f t="shared" ref="D53:N53" si="193">D$52*AF53</f>
        <v>106.10120803879339</v>
      </c>
      <c r="E53" s="34">
        <f t="shared" si="193"/>
        <v>110.27744844749989</v>
      </c>
      <c r="F53" s="34">
        <f t="shared" si="193"/>
        <v>115.26586017250753</v>
      </c>
      <c r="G53" s="34">
        <f t="shared" si="193"/>
        <v>121.10631261190045</v>
      </c>
      <c r="H53" s="34">
        <f t="shared" si="193"/>
        <v>127.90679438938068</v>
      </c>
      <c r="I53" s="34">
        <f t="shared" si="193"/>
        <v>135.80328623098683</v>
      </c>
      <c r="J53" s="34">
        <f t="shared" si="193"/>
        <v>144.97260250924339</v>
      </c>
      <c r="K53" s="34">
        <f t="shared" si="193"/>
        <v>155.54149568410199</v>
      </c>
      <c r="L53" s="34">
        <f t="shared" si="193"/>
        <v>167.73377099669193</v>
      </c>
      <c r="M53" s="34">
        <f t="shared" si="193"/>
        <v>181.80147327134782</v>
      </c>
      <c r="N53" s="34">
        <f t="shared" si="193"/>
        <v>198.08215168636045</v>
      </c>
      <c r="O53" s="14">
        <f t="shared" ref="O53:O55" si="194">((N53/H53)^(1/7)-1)*100%</f>
        <v>6.4476213990188436E-2</v>
      </c>
      <c r="P53" s="4"/>
      <c r="Q53" s="33" t="str">
        <f>B53</f>
        <v>Direct Sales</v>
      </c>
      <c r="R53" s="35">
        <f t="shared" si="182"/>
        <v>3.3873656724742851</v>
      </c>
      <c r="S53" s="35">
        <f t="shared" si="183"/>
        <v>3.936091290477628</v>
      </c>
      <c r="T53" s="35">
        <f t="shared" si="184"/>
        <v>4.523510287221133</v>
      </c>
      <c r="U53" s="35">
        <f t="shared" si="185"/>
        <v>5.0669404025199372</v>
      </c>
      <c r="V53" s="35">
        <f t="shared" si="186"/>
        <v>5.6152991787250528</v>
      </c>
      <c r="W53" s="35">
        <f t="shared" si="187"/>
        <v>6.1736296959856718</v>
      </c>
      <c r="X53" s="35">
        <f t="shared" si="188"/>
        <v>6.7519104527857587</v>
      </c>
      <c r="Y53" s="35">
        <f t="shared" si="189"/>
        <v>7.2902693280854525</v>
      </c>
      <c r="Z53" s="35">
        <f t="shared" si="190"/>
        <v>7.8385997633402704</v>
      </c>
      <c r="AA53" s="35">
        <f t="shared" si="191"/>
        <v>8.3869230334858038</v>
      </c>
      <c r="AB53" s="35">
        <f t="shared" si="192"/>
        <v>8.9551960839794109</v>
      </c>
      <c r="AC53" s="38"/>
      <c r="AD53" s="33" t="str">
        <f>Q53</f>
        <v>Direct Sales</v>
      </c>
      <c r="AE53" s="1">
        <v>0.16410000000000002</v>
      </c>
      <c r="AF53" s="1">
        <v>0.16375454545454546</v>
      </c>
      <c r="AG53" s="1">
        <v>0.16340909090909092</v>
      </c>
      <c r="AH53" s="1">
        <v>0.16306363636363638</v>
      </c>
      <c r="AI53" s="1">
        <v>0.16271818181818185</v>
      </c>
      <c r="AJ53" s="1">
        <v>0.16237272727272728</v>
      </c>
      <c r="AK53" s="1">
        <v>0.16202727272727274</v>
      </c>
      <c r="AL53" s="1">
        <v>0.1616818181818182</v>
      </c>
      <c r="AM53" s="1">
        <v>0.16133636363636367</v>
      </c>
      <c r="AN53" s="1">
        <v>0.1609909090909091</v>
      </c>
      <c r="AO53" s="1">
        <v>0.16064545454545456</v>
      </c>
      <c r="AP53" s="1">
        <v>0.16030000000000003</v>
      </c>
      <c r="AQ53" s="36"/>
      <c r="AR53" s="33" t="str">
        <f t="shared" ref="AR53" si="195">AD54</f>
        <v>Dealer/Distributor Channel</v>
      </c>
      <c r="AS53" s="7">
        <f t="shared" ref="AS53" si="196">AJ54</f>
        <v>0.39849090909090906</v>
      </c>
      <c r="AT53" s="7">
        <f t="shared" ref="AT53" si="197">AP54</f>
        <v>0.41179999999999994</v>
      </c>
    </row>
    <row r="54" spans="2:48" s="2" customFormat="1" x14ac:dyDescent="0.2">
      <c r="B54" s="33" t="s">
        <v>30</v>
      </c>
      <c r="C54" s="34">
        <f t="shared" ref="C54:C55" si="198">C$52*AE54</f>
        <v>242.27237372804277</v>
      </c>
      <c r="D54" s="34">
        <f t="shared" ref="D54:D56" si="199">D$52*AF54</f>
        <v>252.44465520049999</v>
      </c>
      <c r="E54" s="34">
        <f t="shared" ref="E54:E56" si="200">E$52*AG54</f>
        <v>264.43274453319276</v>
      </c>
      <c r="F54" s="34">
        <f t="shared" ref="F54:F56" si="201">F$52*AH54</f>
        <v>278.54791632031612</v>
      </c>
      <c r="G54" s="34">
        <f t="shared" ref="G54:G56" si="202">G$52*AI54</f>
        <v>294.93402797657632</v>
      </c>
      <c r="H54" s="34">
        <f t="shared" ref="H54:H56" si="203">H$52*AJ54</f>
        <v>313.90551622328604</v>
      </c>
      <c r="I54" s="34">
        <f t="shared" ref="I54:I56" si="204">I$52*AK54</f>
        <v>335.8546400992783</v>
      </c>
      <c r="J54" s="34">
        <f t="shared" ref="J54:J56" si="205">J$52*AL54</f>
        <v>361.28623494038141</v>
      </c>
      <c r="K54" s="34">
        <f t="shared" ref="K54:K56" si="206">K$52*AM54</f>
        <v>390.59346913042702</v>
      </c>
      <c r="L54" s="34">
        <f t="shared" ref="L54:L56" si="207">L$52*AN54</f>
        <v>424.42544911410948</v>
      </c>
      <c r="M54" s="34">
        <f t="shared" ref="M54:M56" si="208">M$52*AO54</f>
        <v>463.52122555414542</v>
      </c>
      <c r="N54" s="34">
        <f t="shared" ref="N54:N56" si="209">N$52*AP54</f>
        <v>508.85982572952713</v>
      </c>
      <c r="O54" s="14">
        <f t="shared" si="194"/>
        <v>7.144853842693677E-2</v>
      </c>
      <c r="P54" s="4"/>
      <c r="Q54" s="33" t="str">
        <f t="shared" ref="Q54" si="210">B54</f>
        <v>Dealer/Distributor Channel</v>
      </c>
      <c r="R54" s="35">
        <f t="shared" si="182"/>
        <v>4.1986964159091089</v>
      </c>
      <c r="S54" s="35">
        <f t="shared" si="183"/>
        <v>4.7487990281162462</v>
      </c>
      <c r="T54" s="35">
        <f t="shared" si="184"/>
        <v>5.3379061704484032</v>
      </c>
      <c r="U54" s="35">
        <f t="shared" si="185"/>
        <v>5.882690444331673</v>
      </c>
      <c r="V54" s="35">
        <f t="shared" si="186"/>
        <v>6.4324514796971544</v>
      </c>
      <c r="W54" s="35">
        <f t="shared" si="187"/>
        <v>6.9922708399872358</v>
      </c>
      <c r="X54" s="35">
        <f t="shared" si="188"/>
        <v>7.5722029130178337</v>
      </c>
      <c r="Y54" s="35">
        <f t="shared" si="189"/>
        <v>8.1119155272776577</v>
      </c>
      <c r="Z54" s="35">
        <f t="shared" si="190"/>
        <v>8.6616860386842021</v>
      </c>
      <c r="AA54" s="35">
        <f t="shared" si="191"/>
        <v>9.2114590493193482</v>
      </c>
      <c r="AB54" s="35">
        <f t="shared" si="192"/>
        <v>9.7813428330447714</v>
      </c>
      <c r="AC54" s="38"/>
      <c r="AD54" s="33" t="str">
        <f t="shared" ref="AD54" si="211">Q54</f>
        <v>Dealer/Distributor Channel</v>
      </c>
      <c r="AE54" s="1">
        <v>0.38740000000000002</v>
      </c>
      <c r="AF54" s="1">
        <v>0.38961818181818181</v>
      </c>
      <c r="AG54" s="1">
        <v>0.39183636363636365</v>
      </c>
      <c r="AH54" s="1">
        <v>0.39405454545454544</v>
      </c>
      <c r="AI54" s="1">
        <v>0.39627272727272728</v>
      </c>
      <c r="AJ54" s="1">
        <v>0.39849090909090906</v>
      </c>
      <c r="AK54" s="1">
        <v>0.4007090909090909</v>
      </c>
      <c r="AL54" s="1">
        <v>0.40292727272727269</v>
      </c>
      <c r="AM54" s="1">
        <v>0.40514545454545453</v>
      </c>
      <c r="AN54" s="1">
        <v>0.40736363636363632</v>
      </c>
      <c r="AO54" s="1">
        <v>0.40958181818181816</v>
      </c>
      <c r="AP54" s="1">
        <v>0.41179999999999994</v>
      </c>
      <c r="AQ54" s="36"/>
      <c r="AR54" s="33" t="str">
        <f t="shared" ref="AR54" si="212">AD55</f>
        <v>Rental &amp; Leasing Companies</v>
      </c>
      <c r="AS54" s="7">
        <f t="shared" ref="AS54" si="213">AJ55</f>
        <v>0.27059999999999995</v>
      </c>
      <c r="AT54" s="7">
        <f t="shared" ref="AT54" si="214">AP55</f>
        <v>0.26819999999999994</v>
      </c>
    </row>
    <row r="55" spans="2:48" x14ac:dyDescent="0.2">
      <c r="B55" t="s">
        <v>31</v>
      </c>
      <c r="C55" s="34">
        <f t="shared" si="198"/>
        <v>170.47870180243791</v>
      </c>
      <c r="D55" s="34">
        <f t="shared" si="199"/>
        <v>176.36608955185426</v>
      </c>
      <c r="E55" s="34">
        <f t="shared" si="200"/>
        <v>183.425599648587</v>
      </c>
      <c r="F55" s="34">
        <f t="shared" si="201"/>
        <v>191.84629478675581</v>
      </c>
      <c r="G55" s="34">
        <f t="shared" si="202"/>
        <v>201.6972556545478</v>
      </c>
      <c r="H55" s="34">
        <f t="shared" si="203"/>
        <v>213.16128110376263</v>
      </c>
      <c r="I55" s="34">
        <f t="shared" si="204"/>
        <v>226.46834277940803</v>
      </c>
      <c r="J55" s="34">
        <f t="shared" si="205"/>
        <v>241.91717162042863</v>
      </c>
      <c r="K55" s="34">
        <f t="shared" si="206"/>
        <v>259.72371009763214</v>
      </c>
      <c r="L55" s="34">
        <f t="shared" si="207"/>
        <v>280.26666010458598</v>
      </c>
      <c r="M55" s="34">
        <f t="shared" si="208"/>
        <v>303.97296866477512</v>
      </c>
      <c r="N55" s="34">
        <f t="shared" si="209"/>
        <v>331.41380587823983</v>
      </c>
      <c r="O55" s="14">
        <f t="shared" si="194"/>
        <v>6.507532886420675E-2</v>
      </c>
      <c r="Q55" s="33" t="str">
        <f t="shared" ref="Q55" si="215">B55</f>
        <v>Rental &amp; Leasing Companies</v>
      </c>
      <c r="R55" s="35">
        <f t="shared" ref="R55" si="216">(D55/C55-1)*100</f>
        <v>3.4534447336647567</v>
      </c>
      <c r="S55" s="35">
        <f t="shared" ref="S55" si="217">(E55/D55-1)*100</f>
        <v>4.0027593255999028</v>
      </c>
      <c r="T55" s="35">
        <f t="shared" ref="T55" si="218">(F55/E55-1)*100</f>
        <v>4.5907960253647628</v>
      </c>
      <c r="U55" s="35">
        <f t="shared" ref="U55" si="219">(G55/F55-1)*100</f>
        <v>5.1348194546794401</v>
      </c>
      <c r="V55" s="35">
        <f t="shared" ref="V55" si="220">(H55/G55-1)*100</f>
        <v>5.6837785977859712</v>
      </c>
      <c r="W55" s="35">
        <f t="shared" ref="W55" si="221">(I55/H55-1)*100</f>
        <v>6.2427198817442742</v>
      </c>
      <c r="X55" s="35">
        <f t="shared" ref="X55" si="222">(J55/I55-1)*100</f>
        <v>6.8216284233900915</v>
      </c>
      <c r="Y55" s="35">
        <f t="shared" ref="Y55" si="223">(K55/J55-1)*100</f>
        <v>7.3605930318754842</v>
      </c>
      <c r="Z55" s="35">
        <f t="shared" ref="Z55" si="224">(L55/K55-1)*100</f>
        <v>7.9095397178915894</v>
      </c>
      <c r="AA55" s="35">
        <f t="shared" ref="AA55" si="225">(M55/L55-1)*100</f>
        <v>8.4584832713754601</v>
      </c>
      <c r="AB55" s="35">
        <f t="shared" ref="AB55" si="226">(N55/M55-1)*100</f>
        <v>9.0273938942665666</v>
      </c>
      <c r="AC55" s="38"/>
      <c r="AD55" s="33" t="str">
        <f t="shared" ref="AD55" si="227">Q55</f>
        <v>Rental &amp; Leasing Companies</v>
      </c>
      <c r="AE55" s="1">
        <v>0.27259999999999995</v>
      </c>
      <c r="AF55" s="1">
        <v>0.27219999999999994</v>
      </c>
      <c r="AG55" s="1">
        <v>0.27179999999999999</v>
      </c>
      <c r="AH55" s="1">
        <v>0.27139999999999997</v>
      </c>
      <c r="AI55" s="1">
        <v>0.27099999999999996</v>
      </c>
      <c r="AJ55" s="1">
        <v>0.27059999999999995</v>
      </c>
      <c r="AK55" s="1">
        <v>0.27019999999999994</v>
      </c>
      <c r="AL55" s="1">
        <v>0.26979999999999993</v>
      </c>
      <c r="AM55" s="1">
        <v>0.26939999999999997</v>
      </c>
      <c r="AN55" s="1">
        <v>0.26899999999999996</v>
      </c>
      <c r="AO55" s="1">
        <v>0.26859999999999995</v>
      </c>
      <c r="AP55" s="1">
        <v>0.26819999999999994</v>
      </c>
      <c r="AR55" s="33" t="str">
        <f t="shared" ref="AR55" si="228">AD56</f>
        <v>Export to Regional Markets</v>
      </c>
      <c r="AS55" s="7">
        <f t="shared" ref="AS55" si="229">AJ56</f>
        <v>0.10780000000000001</v>
      </c>
      <c r="AT55" s="7">
        <f t="shared" ref="AT55" si="230">AP56</f>
        <v>0.1048</v>
      </c>
    </row>
    <row r="56" spans="2:48" x14ac:dyDescent="0.2">
      <c r="B56" t="s">
        <v>32</v>
      </c>
      <c r="C56" s="34">
        <f>C$52*AE56</f>
        <v>68.97946004698791</v>
      </c>
      <c r="D56" s="34">
        <f t="shared" si="199"/>
        <v>71.142529878007352</v>
      </c>
      <c r="E56" s="34">
        <f t="shared" si="200"/>
        <v>73.761655782158059</v>
      </c>
      <c r="F56" s="34">
        <f t="shared" si="201"/>
        <v>76.908168285921278</v>
      </c>
      <c r="G56" s="34">
        <f t="shared" si="202"/>
        <v>80.604475230212287</v>
      </c>
      <c r="H56" s="34">
        <f t="shared" si="203"/>
        <v>84.917908732393272</v>
      </c>
      <c r="I56" s="34">
        <f t="shared" si="204"/>
        <v>89.93357949752216</v>
      </c>
      <c r="J56" s="34">
        <f t="shared" si="205"/>
        <v>95.762616490221589</v>
      </c>
      <c r="K56" s="34">
        <f t="shared" si="206"/>
        <v>102.4819242144703</v>
      </c>
      <c r="L56" s="34">
        <f t="shared" si="207"/>
        <v>110.23127375117177</v>
      </c>
      <c r="M56" s="34">
        <f t="shared" si="208"/>
        <v>119.16736262249006</v>
      </c>
      <c r="N56" s="34">
        <f t="shared" si="209"/>
        <v>129.50099498896176</v>
      </c>
      <c r="O56" s="14">
        <f t="shared" ref="O56" si="231">((N56/H56)^(1/7)-1)*100%</f>
        <v>6.2140511056856029E-2</v>
      </c>
      <c r="Q56" s="33" t="str">
        <f t="shared" ref="Q56" si="232">B56</f>
        <v>Export to Regional Markets</v>
      </c>
      <c r="R56" s="35">
        <f t="shared" ref="R56" si="233">(D56/C56-1)*100</f>
        <v>3.1358172846612353</v>
      </c>
      <c r="S56" s="35">
        <f t="shared" ref="S56" si="234">(E56/D56-1)*100</f>
        <v>3.6815192102978234</v>
      </c>
      <c r="T56" s="35">
        <f t="shared" ref="T56" si="235">(F56/E56-1)*100</f>
        <v>4.2657834485926971</v>
      </c>
      <c r="U56" s="35">
        <f t="shared" ref="U56" si="236">(G56/F56-1)*100</f>
        <v>4.8061305147058864</v>
      </c>
      <c r="V56" s="35">
        <f t="shared" ref="V56" si="237">(H56/G56-1)*100</f>
        <v>5.3513573407202308</v>
      </c>
      <c r="W56" s="35">
        <f t="shared" ref="W56" si="238">(I56/H56-1)*100</f>
        <v>5.9064935064935042</v>
      </c>
      <c r="X56" s="35">
        <f t="shared" ref="X56" si="239">(J56/I56-1)*100</f>
        <v>6.4814911463187519</v>
      </c>
      <c r="Y56" s="35">
        <f t="shared" ref="Y56" si="240">(K56/J56-1)*100</f>
        <v>7.0166292134831387</v>
      </c>
      <c r="Z56" s="35">
        <f t="shared" ref="Z56" si="241">(L56/K56-1)*100</f>
        <v>7.5616745061147794</v>
      </c>
      <c r="AA56" s="35">
        <f t="shared" ref="AA56" si="242">(M56/L56-1)*100</f>
        <v>8.1066729678638936</v>
      </c>
      <c r="AB56" s="35">
        <f t="shared" ref="AB56" si="243">(N56/M56-1)*100</f>
        <v>8.6715289648622971</v>
      </c>
      <c r="AC56" s="38"/>
      <c r="AD56" s="33" t="str">
        <f t="shared" ref="AD56" si="244">Q56</f>
        <v>Export to Regional Markets</v>
      </c>
      <c r="AE56" s="1">
        <v>0.1103</v>
      </c>
      <c r="AF56" s="1">
        <v>0.10979999999999999</v>
      </c>
      <c r="AG56" s="1">
        <v>0.10929999999999999</v>
      </c>
      <c r="AH56" s="1">
        <v>0.10879999999999999</v>
      </c>
      <c r="AI56" s="1">
        <v>0.10829999999999999</v>
      </c>
      <c r="AJ56" s="1">
        <v>0.10780000000000001</v>
      </c>
      <c r="AK56" s="1">
        <v>0.10730000000000001</v>
      </c>
      <c r="AL56" s="1">
        <v>0.10680000000000001</v>
      </c>
      <c r="AM56" s="1">
        <v>0.10630000000000001</v>
      </c>
      <c r="AN56" s="1">
        <v>0.10580000000000001</v>
      </c>
      <c r="AO56" s="1">
        <v>0.1053</v>
      </c>
      <c r="AP56" s="1">
        <v>0.1048</v>
      </c>
      <c r="AR56" s="33" t="str">
        <f t="shared" ref="AR56" si="245">AD57</f>
        <v>Others</v>
      </c>
      <c r="AS56" s="7">
        <f t="shared" ref="AS56" si="246">AJ57</f>
        <v>6.0736363636363644E-2</v>
      </c>
      <c r="AT56" s="7">
        <f t="shared" ref="AT56" si="247">AP57</f>
        <v>5.4899999999999997E-2</v>
      </c>
    </row>
    <row r="57" spans="2:48" x14ac:dyDescent="0.2">
      <c r="B57" t="s">
        <v>5</v>
      </c>
      <c r="C57" s="34">
        <f>C$52*AE57</f>
        <v>41.024955386059901</v>
      </c>
      <c r="D57" s="34">
        <f t="shared" ref="D57" si="248">D$52*AF57</f>
        <v>41.873840445666033</v>
      </c>
      <c r="E57" s="34">
        <f t="shared" ref="E57" si="249">E$52*AG57</f>
        <v>42.957590766586605</v>
      </c>
      <c r="F57" s="34">
        <f t="shared" ref="F57" si="250">F$52*AH57</f>
        <v>44.308307180099199</v>
      </c>
      <c r="G57" s="34">
        <f t="shared" ref="G57" si="251">G$52*AI57</f>
        <v>45.928244595205328</v>
      </c>
      <c r="H57" s="34">
        <f t="shared" ref="H57" si="252">H$52*AJ57</f>
        <v>47.844202078016487</v>
      </c>
      <c r="I57" s="34">
        <f t="shared" ref="I57" si="253">I$52*AK57</f>
        <v>50.090938881361581</v>
      </c>
      <c r="J57" s="34">
        <f t="shared" ref="J57" si="254">J$52*AL57</f>
        <v>52.715086894983237</v>
      </c>
      <c r="K57" s="34">
        <f t="shared" ref="K57" si="255">K$52*AM57</f>
        <v>55.741472505262223</v>
      </c>
      <c r="L57" s="34">
        <f t="shared" ref="L57" si="256">L$52*AN57</f>
        <v>59.226340846028272</v>
      </c>
      <c r="M57" s="34">
        <f t="shared" ref="M57" si="257">M$52*AO57</f>
        <v>63.230821952674077</v>
      </c>
      <c r="N57" s="34">
        <f t="shared" ref="N57" si="258">N$52*AP57</f>
        <v>67.839738787156492</v>
      </c>
      <c r="O57" s="14">
        <f t="shared" ref="O57" si="259">((N57/H57)^(1/7)-1)*100%</f>
        <v>5.1150687555056251E-2</v>
      </c>
      <c r="Q57" s="33" t="str">
        <f t="shared" ref="Q57" si="260">B57</f>
        <v>Others</v>
      </c>
      <c r="R57" s="35">
        <f t="shared" ref="R57" si="261">(D57/C57-1)*100</f>
        <v>2.0691919140869652</v>
      </c>
      <c r="S57" s="35">
        <f t="shared" ref="S57" si="262">(E57/D57-1)*100</f>
        <v>2.5881321354481512</v>
      </c>
      <c r="T57" s="35">
        <f t="shared" ref="T57" si="263">(F57/E57-1)*100</f>
        <v>3.1443020649174924</v>
      </c>
      <c r="U57" s="35">
        <f t="shared" ref="U57" si="264">(G57/F57-1)*100</f>
        <v>3.6560580130529319</v>
      </c>
      <c r="V57" s="35">
        <f t="shared" ref="V57" si="265">(H57/G57-1)*100</f>
        <v>4.1716322922805027</v>
      </c>
      <c r="W57" s="35">
        <f t="shared" ref="W57" si="266">(I57/H57-1)*100</f>
        <v>4.69594372099984</v>
      </c>
      <c r="X57" s="35">
        <f t="shared" ref="X57" si="267">(J57/I57-1)*100</f>
        <v>5.2387678734408416</v>
      </c>
      <c r="Y57" s="35">
        <f t="shared" ref="Y57" si="268">(K57/J57-1)*100</f>
        <v>5.7410236585742958</v>
      </c>
      <c r="Z57" s="35">
        <f t="shared" ref="Z57" si="269">(L57/K57-1)*100</f>
        <v>6.2518411949685548</v>
      </c>
      <c r="AA57" s="35">
        <f t="shared" ref="AA57" si="270">(M57/L57-1)*100</f>
        <v>6.7613177674716196</v>
      </c>
      <c r="AB57" s="35">
        <f t="shared" ref="AB57" si="271">(N57/M57-1)*100</f>
        <v>7.2890351448096302</v>
      </c>
      <c r="AC57" s="38"/>
      <c r="AD57" s="33" t="str">
        <f t="shared" ref="AD57" si="272">Q57</f>
        <v>Others</v>
      </c>
      <c r="AE57" s="1">
        <v>6.5600000000000006E-2</v>
      </c>
      <c r="AF57" s="1">
        <v>6.4627272727272742E-2</v>
      </c>
      <c r="AG57" s="1">
        <v>6.3654545454545464E-2</v>
      </c>
      <c r="AH57" s="1">
        <v>6.2681818181818186E-2</v>
      </c>
      <c r="AI57" s="1">
        <v>6.1709090909090915E-2</v>
      </c>
      <c r="AJ57" s="1">
        <v>6.0736363636363644E-2</v>
      </c>
      <c r="AK57" s="1">
        <v>5.9763636363636366E-2</v>
      </c>
      <c r="AL57" s="1">
        <v>5.8790909090909095E-2</v>
      </c>
      <c r="AM57" s="1">
        <v>5.7818181818181824E-2</v>
      </c>
      <c r="AN57" s="1">
        <v>5.6845454545454546E-2</v>
      </c>
      <c r="AO57" s="1">
        <v>5.5872727272727275E-2</v>
      </c>
      <c r="AP57" s="1">
        <v>5.4899999999999997E-2</v>
      </c>
    </row>
    <row r="58" spans="2:48" x14ac:dyDescent="0.2"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60" spans="2:48" ht="15" customHeight="1" x14ac:dyDescent="0.2">
      <c r="B60" s="43" t="str">
        <f>B49</f>
        <v>Australia Elevating Work Platforms and Spider Lifts Market</v>
      </c>
      <c r="C60" s="19"/>
      <c r="D60" s="51" t="s">
        <v>1</v>
      </c>
      <c r="E60" s="51"/>
      <c r="F60" s="51"/>
      <c r="G60" s="51"/>
      <c r="H60" s="51"/>
      <c r="I60" s="51"/>
      <c r="J60" s="51"/>
      <c r="K60" s="51"/>
      <c r="L60" s="51"/>
      <c r="M60" s="51"/>
      <c r="N60" s="19"/>
      <c r="Q60" s="52" t="str">
        <f>B60</f>
        <v>Australia Elevating Work Platforms and Spider Lifts Market</v>
      </c>
      <c r="R60" s="20"/>
      <c r="S60" s="51" t="s">
        <v>2</v>
      </c>
      <c r="T60" s="51"/>
      <c r="U60" s="51"/>
      <c r="V60" s="51"/>
      <c r="W60" s="51"/>
      <c r="X60" s="51"/>
      <c r="Y60" s="51"/>
      <c r="Z60" s="51"/>
      <c r="AA60" s="51"/>
      <c r="AB60" s="51"/>
      <c r="AC60" s="38"/>
      <c r="AD60" s="52" t="s">
        <v>4</v>
      </c>
      <c r="AE60" s="21"/>
      <c r="AF60" s="53" t="s">
        <v>0</v>
      </c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R60" s="46"/>
    </row>
    <row r="61" spans="2:48" x14ac:dyDescent="0.2">
      <c r="B61" s="43"/>
      <c r="C61" s="23">
        <v>2019</v>
      </c>
      <c r="D61" s="23">
        <v>2020</v>
      </c>
      <c r="E61" s="23">
        <v>2021</v>
      </c>
      <c r="F61" s="23">
        <v>2022</v>
      </c>
      <c r="G61" s="23">
        <v>2023</v>
      </c>
      <c r="H61" s="23">
        <v>2024</v>
      </c>
      <c r="I61" s="23">
        <v>2025</v>
      </c>
      <c r="J61" s="23">
        <v>2026</v>
      </c>
      <c r="K61" s="23">
        <v>2027</v>
      </c>
      <c r="L61" s="23">
        <v>2028</v>
      </c>
      <c r="M61" s="23">
        <v>2029</v>
      </c>
      <c r="N61" s="23">
        <v>2030</v>
      </c>
      <c r="O61" s="24" t="s">
        <v>3</v>
      </c>
      <c r="Q61" s="52"/>
      <c r="R61" s="23">
        <v>2020</v>
      </c>
      <c r="S61" s="23">
        <v>2021</v>
      </c>
      <c r="T61" s="23">
        <v>2022</v>
      </c>
      <c r="U61" s="23">
        <v>2023</v>
      </c>
      <c r="V61" s="23">
        <v>2024</v>
      </c>
      <c r="W61" s="23">
        <v>2025</v>
      </c>
      <c r="X61" s="23">
        <v>2026</v>
      </c>
      <c r="Y61" s="23">
        <v>2027</v>
      </c>
      <c r="Z61" s="23">
        <v>2028</v>
      </c>
      <c r="AA61" s="23">
        <v>2029</v>
      </c>
      <c r="AB61" s="23">
        <v>2030</v>
      </c>
      <c r="AC61" s="38"/>
      <c r="AD61" s="52"/>
      <c r="AE61" s="23">
        <v>2019</v>
      </c>
      <c r="AF61" s="23">
        <v>2020</v>
      </c>
      <c r="AG61" s="23">
        <v>2021</v>
      </c>
      <c r="AH61" s="23">
        <v>2022</v>
      </c>
      <c r="AI61" s="23">
        <v>2023</v>
      </c>
      <c r="AJ61" s="23">
        <v>2024</v>
      </c>
      <c r="AK61" s="23">
        <v>2025</v>
      </c>
      <c r="AL61" s="23">
        <v>2026</v>
      </c>
      <c r="AM61" s="23">
        <v>2027</v>
      </c>
      <c r="AN61" s="23">
        <v>2028</v>
      </c>
      <c r="AO61" s="23">
        <v>2029</v>
      </c>
      <c r="AP61" s="23">
        <v>2030</v>
      </c>
      <c r="AR61" s="46"/>
    </row>
    <row r="62" spans="2:48" ht="22" customHeight="1" x14ac:dyDescent="0.2">
      <c r="B62" s="43"/>
      <c r="E62" s="18"/>
      <c r="Q62" s="52"/>
      <c r="AD62" s="52"/>
      <c r="AE62" s="25"/>
      <c r="AG62" s="18"/>
      <c r="AQ62" s="26"/>
      <c r="AR62" s="33"/>
      <c r="AS62" s="23">
        <v>2024</v>
      </c>
      <c r="AT62" s="23">
        <v>2030</v>
      </c>
      <c r="AU62" s="28"/>
      <c r="AV62" s="28"/>
    </row>
    <row r="63" spans="2:48" x14ac:dyDescent="0.2">
      <c r="B63" s="29" t="s">
        <v>6</v>
      </c>
      <c r="C63" s="32">
        <f>C7</f>
        <v>625.3804174704253</v>
      </c>
      <c r="D63" s="32">
        <f t="shared" ref="D63:N63" si="273">D7</f>
        <v>647.92832311482107</v>
      </c>
      <c r="E63" s="32">
        <f t="shared" si="273"/>
        <v>674.8550391780243</v>
      </c>
      <c r="F63" s="32">
        <f t="shared" si="273"/>
        <v>706.87654674559997</v>
      </c>
      <c r="G63" s="32">
        <f t="shared" si="273"/>
        <v>744.27031606844218</v>
      </c>
      <c r="H63" s="32">
        <f t="shared" si="273"/>
        <v>787.73570252683919</v>
      </c>
      <c r="I63" s="32">
        <f t="shared" si="273"/>
        <v>838.15078748855694</v>
      </c>
      <c r="J63" s="32">
        <f t="shared" si="273"/>
        <v>896.6537124552583</v>
      </c>
      <c r="K63" s="32">
        <f t="shared" si="273"/>
        <v>964.08207163189365</v>
      </c>
      <c r="L63" s="32">
        <f t="shared" si="273"/>
        <v>1041.8834948125875</v>
      </c>
      <c r="M63" s="32">
        <f t="shared" si="273"/>
        <v>1131.6938520654326</v>
      </c>
      <c r="N63" s="32">
        <f t="shared" si="273"/>
        <v>1235.6965170702458</v>
      </c>
      <c r="O63" s="14">
        <f>((N63/H63)^(1/7)-1)*100%</f>
        <v>6.6431689556592177E-2</v>
      </c>
      <c r="P63" s="4"/>
      <c r="Q63" s="29" t="str">
        <f>B63</f>
        <v>Region</v>
      </c>
      <c r="R63" s="20">
        <f t="shared" ref="R63:R64" si="274">(D63/C63-1)*100</f>
        <v>3.6054703688354728</v>
      </c>
      <c r="S63" s="20">
        <f t="shared" ref="S63:S64" si="275">(E63/D63-1)*100</f>
        <v>4.1558171023851731</v>
      </c>
      <c r="T63" s="20">
        <f t="shared" ref="T63:T64" si="276">(F63/E63-1)*100</f>
        <v>4.7449460563527834</v>
      </c>
      <c r="U63" s="20">
        <f t="shared" ref="U63:U64" si="277">(G63/F63-1)*100</f>
        <v>5.2899999999999947</v>
      </c>
      <c r="V63" s="20">
        <f t="shared" ref="V63:V64" si="278">(H63/G63-1)*100</f>
        <v>5.8400000000000007</v>
      </c>
      <c r="W63" s="20">
        <f t="shared" ref="W63:W64" si="279">(I63/H63-1)*100</f>
        <v>6.4000000000000057</v>
      </c>
      <c r="X63" s="20">
        <f t="shared" ref="X63:X64" si="280">(J63/I63-1)*100</f>
        <v>6.9800000000000084</v>
      </c>
      <c r="Y63" s="20">
        <f t="shared" ref="Y63:Y64" si="281">(K63/J63-1)*100</f>
        <v>7.5199999999999934</v>
      </c>
      <c r="Z63" s="20">
        <f t="shared" ref="Z63:Z64" si="282">(L63/K63-1)*100</f>
        <v>8.07</v>
      </c>
      <c r="AA63" s="20">
        <f t="shared" ref="AA63:AA64" si="283">(M63/L63-1)*100</f>
        <v>8.6200000000000045</v>
      </c>
      <c r="AB63" s="20">
        <f t="shared" ref="AB63:AB64" si="284">(N63/M63-1)*100</f>
        <v>9.1900000000000084</v>
      </c>
      <c r="AD63" s="29" t="str">
        <f>Q63</f>
        <v>Region</v>
      </c>
      <c r="AE63" s="30">
        <v>1</v>
      </c>
      <c r="AF63" s="30">
        <v>1</v>
      </c>
      <c r="AG63" s="30">
        <v>1</v>
      </c>
      <c r="AH63" s="30">
        <v>1</v>
      </c>
      <c r="AI63" s="30">
        <v>1</v>
      </c>
      <c r="AJ63" s="30">
        <v>1</v>
      </c>
      <c r="AK63" s="30">
        <v>1</v>
      </c>
      <c r="AL63" s="30">
        <v>1</v>
      </c>
      <c r="AM63" s="30">
        <v>1</v>
      </c>
      <c r="AN63" s="30">
        <v>1</v>
      </c>
      <c r="AO63" s="30">
        <v>1</v>
      </c>
      <c r="AP63" s="30">
        <v>1</v>
      </c>
      <c r="AR63" s="33" t="str">
        <f>AD64</f>
        <v>New South Wales</v>
      </c>
      <c r="AS63" s="7">
        <f>AJ64</f>
        <v>0.38285454545454545</v>
      </c>
      <c r="AT63" s="7">
        <f>AP64</f>
        <v>0.39179999999999998</v>
      </c>
    </row>
    <row r="64" spans="2:48" s="2" customFormat="1" x14ac:dyDescent="0.2">
      <c r="B64" s="33" t="s">
        <v>34</v>
      </c>
      <c r="C64" s="34">
        <f>C$63*AE64</f>
        <v>234.76780871839767</v>
      </c>
      <c r="D64" s="34">
        <f t="shared" ref="D64:N64" si="285">D$63*AF64</f>
        <v>244.19829472449322</v>
      </c>
      <c r="E64" s="34">
        <f t="shared" si="285"/>
        <v>255.35287673334295</v>
      </c>
      <c r="F64" s="34">
        <f t="shared" si="285"/>
        <v>268.52312165737851</v>
      </c>
      <c r="G64" s="34">
        <f t="shared" si="285"/>
        <v>283.83763417337406</v>
      </c>
      <c r="H64" s="34">
        <f t="shared" si="285"/>
        <v>301.58819432923002</v>
      </c>
      <c r="I64" s="34">
        <f t="shared" si="285"/>
        <v>322.13944539492007</v>
      </c>
      <c r="J64" s="34">
        <f t="shared" si="285"/>
        <v>345.96160785478247</v>
      </c>
      <c r="K64" s="34">
        <f t="shared" si="285"/>
        <v>373.41527949044053</v>
      </c>
      <c r="L64" s="34">
        <f t="shared" si="285"/>
        <v>405.10324611940331</v>
      </c>
      <c r="M64" s="34">
        <f t="shared" si="285"/>
        <v>441.71039858706615</v>
      </c>
      <c r="N64" s="34">
        <f t="shared" si="285"/>
        <v>484.14589538812231</v>
      </c>
      <c r="O64" s="14">
        <f t="shared" ref="O64:O68" si="286">((N64/H64)^(1/7)-1)*100%</f>
        <v>6.9956171684883994E-2</v>
      </c>
      <c r="P64" s="4"/>
      <c r="Q64" s="33" t="str">
        <f>B64</f>
        <v>New South Wales</v>
      </c>
      <c r="R64" s="35">
        <f t="shared" si="274"/>
        <v>4.0169416997912766</v>
      </c>
      <c r="S64" s="35">
        <f t="shared" si="275"/>
        <v>4.567837798144514</v>
      </c>
      <c r="T64" s="35">
        <f t="shared" si="276"/>
        <v>5.1576645983075542</v>
      </c>
      <c r="U64" s="35">
        <f t="shared" si="277"/>
        <v>5.7032379265782751</v>
      </c>
      <c r="V64" s="35">
        <f t="shared" si="278"/>
        <v>6.2537725864123983</v>
      </c>
      <c r="W64" s="35">
        <f t="shared" si="279"/>
        <v>6.8143420240300179</v>
      </c>
      <c r="X64" s="35">
        <f t="shared" si="280"/>
        <v>7.3949846255735974</v>
      </c>
      <c r="Y64" s="35">
        <f t="shared" si="281"/>
        <v>7.9354676970924798</v>
      </c>
      <c r="Z64" s="35">
        <f t="shared" si="282"/>
        <v>8.4859855419424424</v>
      </c>
      <c r="AA64" s="35">
        <f t="shared" si="283"/>
        <v>9.0364994154781275</v>
      </c>
      <c r="AB64" s="35">
        <f t="shared" si="284"/>
        <v>9.6070857595379024</v>
      </c>
      <c r="AC64" s="38"/>
      <c r="AD64" s="33" t="str">
        <f>Q64</f>
        <v>New South Wales</v>
      </c>
      <c r="AE64" s="1">
        <v>0.37540000000000001</v>
      </c>
      <c r="AF64" s="1">
        <v>0.37689090909090911</v>
      </c>
      <c r="AG64" s="1">
        <v>0.37838181818181815</v>
      </c>
      <c r="AH64" s="1">
        <v>0.37987272727272725</v>
      </c>
      <c r="AI64" s="1">
        <v>0.38136363636363635</v>
      </c>
      <c r="AJ64" s="1">
        <v>0.38285454545454545</v>
      </c>
      <c r="AK64" s="1">
        <v>0.38434545454545455</v>
      </c>
      <c r="AL64" s="1">
        <v>0.38583636363636364</v>
      </c>
      <c r="AM64" s="1">
        <v>0.38732727272727269</v>
      </c>
      <c r="AN64" s="1">
        <v>0.38881818181818179</v>
      </c>
      <c r="AO64" s="1">
        <v>0.39030909090909088</v>
      </c>
      <c r="AP64" s="1">
        <v>0.39179999999999998</v>
      </c>
      <c r="AQ64" s="36"/>
      <c r="AR64" s="33" t="str">
        <f t="shared" ref="AR64" si="287">AD65</f>
        <v>Victoria</v>
      </c>
      <c r="AS64" s="7">
        <f t="shared" ref="AS64" si="288">AJ65</f>
        <v>0.22833636363636364</v>
      </c>
      <c r="AT64" s="7">
        <f t="shared" ref="AT64" si="289">AP65</f>
        <v>0.23089999999999999</v>
      </c>
    </row>
    <row r="65" spans="2:46" s="2" customFormat="1" x14ac:dyDescent="0.2">
      <c r="B65" s="33" t="s">
        <v>35</v>
      </c>
      <c r="C65" s="34">
        <f t="shared" ref="C65:C68" si="290">C$63*AE65</f>
        <v>141.46105043181021</v>
      </c>
      <c r="D65" s="34">
        <f t="shared" ref="D65:D68" si="291">D$63*AF65</f>
        <v>146.83822879026704</v>
      </c>
      <c r="E65" s="34">
        <f t="shared" ref="E65:E68" si="292">E$63*AG65</f>
        <v>153.22890416827579</v>
      </c>
      <c r="F65" s="34">
        <f t="shared" ref="F65:F68" si="293">F$63*AH65</f>
        <v>160.80156208377409</v>
      </c>
      <c r="G65" s="34">
        <f t="shared" ref="G65:G68" si="294">G$63*AI65</f>
        <v>169.62597112578041</v>
      </c>
      <c r="H65" s="34">
        <f t="shared" ref="H65:H68" si="295">H$63*AJ65</f>
        <v>179.86870582151474</v>
      </c>
      <c r="I65" s="34">
        <f t="shared" ref="I65:I68" si="296">I$63*AK65</f>
        <v>191.73842196692769</v>
      </c>
      <c r="J65" s="34">
        <f t="shared" ref="J65:J68" si="297">J$63*AL65</f>
        <v>205.50487949735924</v>
      </c>
      <c r="K65" s="34">
        <f t="shared" ref="K65:K68" si="298">K$63*AM65</f>
        <v>221.37077241162154</v>
      </c>
      <c r="L65" s="34">
        <f t="shared" ref="L65:L68" si="299">L$63*AN65</f>
        <v>239.68056214756842</v>
      </c>
      <c r="M65" s="34">
        <f t="shared" ref="M65:M68" si="300">M$63*AO65</f>
        <v>260.82456852329858</v>
      </c>
      <c r="N65" s="34">
        <f t="shared" ref="N65:N68" si="301">N$63*AP65</f>
        <v>285.32232579151975</v>
      </c>
      <c r="O65" s="14">
        <f t="shared" si="286"/>
        <v>6.8133989384682403E-2</v>
      </c>
      <c r="P65" s="4"/>
      <c r="Q65" s="33" t="str">
        <f t="shared" ref="Q65" si="302">B65</f>
        <v>Victoria</v>
      </c>
      <c r="R65" s="35">
        <f t="shared" ref="R65:R66" si="303">(D65/C65-1)*100</f>
        <v>3.8011723665581254</v>
      </c>
      <c r="S65" s="35">
        <f t="shared" ref="S65:S66" si="304">(E65/D65-1)*100</f>
        <v>4.3521877311232915</v>
      </c>
      <c r="T65" s="35">
        <f t="shared" ref="T65:T66" si="305">(F65/E65-1)*100</f>
        <v>4.9420557802736909</v>
      </c>
      <c r="U65" s="35">
        <f t="shared" ref="U65:U66" si="306">(G65/F65-1)*100</f>
        <v>5.4877632578028024</v>
      </c>
      <c r="V65" s="35">
        <f t="shared" ref="V65:V66" si="307">(H65/G65-1)*100</f>
        <v>6.0384236138811387</v>
      </c>
      <c r="W65" s="35">
        <f t="shared" ref="W65:W66" si="308">(I65/H65-1)*100</f>
        <v>6.5991002110124652</v>
      </c>
      <c r="X65" s="35">
        <f t="shared" ref="X65:X66" si="309">(J65/I65-1)*100</f>
        <v>7.1798116356700081</v>
      </c>
      <c r="Y65" s="35">
        <f t="shared" ref="Y65:Y66" si="310">(K65/J65-1)*100</f>
        <v>7.7204458371345819</v>
      </c>
      <c r="Z65" s="35">
        <f t="shared" ref="Z65:Z66" si="311">(L65/K65-1)*100</f>
        <v>8.2710962863251183</v>
      </c>
      <c r="AA65" s="35">
        <f t="shared" ref="AA65:AA66" si="312">(M65/L65-1)*100</f>
        <v>8.8217443193044698</v>
      </c>
      <c r="AB65" s="35">
        <f t="shared" ref="AB65:AB66" si="313">(N65/M65-1)*100</f>
        <v>9.3924270274534649</v>
      </c>
      <c r="AC65" s="38"/>
      <c r="AD65" s="33" t="str">
        <f t="shared" ref="AD65" si="314">Q65</f>
        <v>Victoria</v>
      </c>
      <c r="AE65" s="1">
        <v>0.22620000000000001</v>
      </c>
      <c r="AF65" s="1">
        <v>0.22662727272727273</v>
      </c>
      <c r="AG65" s="1">
        <v>0.22705454545454548</v>
      </c>
      <c r="AH65" s="1">
        <v>0.2274818181818182</v>
      </c>
      <c r="AI65" s="1">
        <v>0.22790909090909092</v>
      </c>
      <c r="AJ65" s="1">
        <v>0.22833636363636364</v>
      </c>
      <c r="AK65" s="1">
        <v>0.22876363636363636</v>
      </c>
      <c r="AL65" s="1">
        <v>0.22919090909090908</v>
      </c>
      <c r="AM65" s="1">
        <v>0.22961818181818183</v>
      </c>
      <c r="AN65" s="1">
        <v>0.23004545454545455</v>
      </c>
      <c r="AO65" s="1">
        <v>0.23047272727272727</v>
      </c>
      <c r="AP65" s="1">
        <v>0.23089999999999999</v>
      </c>
      <c r="AQ65" s="36"/>
      <c r="AR65" s="33" t="str">
        <f t="shared" ref="AR65" si="315">AD66</f>
        <v>Queensland</v>
      </c>
      <c r="AS65" s="7">
        <f t="shared" ref="AS65" si="316">AJ66</f>
        <v>0.16298181818181817</v>
      </c>
      <c r="AT65" s="7">
        <f t="shared" ref="AT65" si="317">AP66</f>
        <v>0.16139999999999999</v>
      </c>
    </row>
    <row r="66" spans="2:46" x14ac:dyDescent="0.2">
      <c r="B66" t="s">
        <v>36</v>
      </c>
      <c r="C66" s="34">
        <f t="shared" si="290"/>
        <v>102.75000259039088</v>
      </c>
      <c r="D66" s="34">
        <f t="shared" si="291"/>
        <v>106.28380602076209</v>
      </c>
      <c r="E66" s="34">
        <f t="shared" si="292"/>
        <v>110.52285027992825</v>
      </c>
      <c r="F66" s="34">
        <f t="shared" si="293"/>
        <v>115.58074154333056</v>
      </c>
      <c r="G66" s="34">
        <f t="shared" si="294"/>
        <v>121.49874605128196</v>
      </c>
      <c r="H66" s="34">
        <f t="shared" si="295"/>
        <v>128.38659704455611</v>
      </c>
      <c r="I66" s="34">
        <f t="shared" si="296"/>
        <v>136.38237222961524</v>
      </c>
      <c r="J66" s="34">
        <f t="shared" si="297"/>
        <v>145.66547128704968</v>
      </c>
      <c r="K66" s="34">
        <f t="shared" si="298"/>
        <v>156.36534763622376</v>
      </c>
      <c r="L66" s="34">
        <f t="shared" si="299"/>
        <v>168.70935281456187</v>
      </c>
      <c r="M66" s="34">
        <f t="shared" si="300"/>
        <v>182.95374337526894</v>
      </c>
      <c r="N66" s="34">
        <f t="shared" si="301"/>
        <v>199.44141785513767</v>
      </c>
      <c r="O66" s="14">
        <f t="shared" si="286"/>
        <v>6.4946896289122646E-2</v>
      </c>
      <c r="P66" s="4"/>
      <c r="Q66" s="33" t="str">
        <f t="shared" ref="Q66" si="318">B66</f>
        <v>Queensland</v>
      </c>
      <c r="R66" s="35">
        <f t="shared" si="303"/>
        <v>3.4392246630480239</v>
      </c>
      <c r="S66" s="35">
        <f t="shared" si="304"/>
        <v>3.9884197018105416</v>
      </c>
      <c r="T66" s="35">
        <f t="shared" si="305"/>
        <v>4.5763308226234312</v>
      </c>
      <c r="U66" s="35">
        <f t="shared" si="306"/>
        <v>5.1202340709440408</v>
      </c>
      <c r="V66" s="35">
        <f t="shared" si="307"/>
        <v>5.6690716712145761</v>
      </c>
      <c r="W66" s="35">
        <f t="shared" si="308"/>
        <v>6.2278893351182418</v>
      </c>
      <c r="X66" s="35">
        <f t="shared" si="309"/>
        <v>6.8066707637298496</v>
      </c>
      <c r="Y66" s="35">
        <f t="shared" si="310"/>
        <v>7.3455131505316018</v>
      </c>
      <c r="Z66" s="35">
        <f t="shared" si="311"/>
        <v>7.8943355193094478</v>
      </c>
      <c r="AA66" s="35">
        <f t="shared" si="312"/>
        <v>8.4431540534471097</v>
      </c>
      <c r="AB66" s="35">
        <f t="shared" si="313"/>
        <v>9.0119361187651403</v>
      </c>
      <c r="AC66" s="38"/>
      <c r="AD66" s="33" t="str">
        <f t="shared" ref="AD66" si="319">Q66</f>
        <v>Queensland</v>
      </c>
      <c r="AE66" s="1">
        <v>0.1643</v>
      </c>
      <c r="AF66" s="1">
        <v>0.16403636363636362</v>
      </c>
      <c r="AG66" s="1">
        <v>0.16377272727272726</v>
      </c>
      <c r="AH66" s="1">
        <v>0.16350909090909091</v>
      </c>
      <c r="AI66" s="1">
        <v>0.16324545454545453</v>
      </c>
      <c r="AJ66" s="1">
        <v>0.16298181818181817</v>
      </c>
      <c r="AK66" s="1">
        <v>0.16271818181818179</v>
      </c>
      <c r="AL66" s="1">
        <v>0.16245454545454543</v>
      </c>
      <c r="AM66" s="1">
        <v>0.16219090909090908</v>
      </c>
      <c r="AN66" s="1">
        <v>0.1619272727272727</v>
      </c>
      <c r="AO66" s="1">
        <v>0.16166363636363634</v>
      </c>
      <c r="AP66" s="1">
        <v>0.16139999999999999</v>
      </c>
      <c r="AR66" s="33" t="str">
        <f t="shared" ref="AR66:AR67" si="320">AD67</f>
        <v>Western Australia</v>
      </c>
      <c r="AS66" s="7">
        <f t="shared" ref="AS66:AS67" si="321">AJ67</f>
        <v>0.14335454545454546</v>
      </c>
      <c r="AT66" s="7">
        <f t="shared" ref="AT66:AT67" si="322">AP67</f>
        <v>0.14030000000000001</v>
      </c>
    </row>
    <row r="67" spans="2:46" x14ac:dyDescent="0.2">
      <c r="B67" t="s">
        <v>37</v>
      </c>
      <c r="C67" s="34">
        <f t="shared" si="290"/>
        <v>91.243002908935054</v>
      </c>
      <c r="D67" s="34">
        <f t="shared" si="291"/>
        <v>94.202887923412121</v>
      </c>
      <c r="E67" s="34">
        <f t="shared" si="292"/>
        <v>97.774225085274296</v>
      </c>
      <c r="F67" s="34">
        <f t="shared" si="293"/>
        <v>102.05369489878974</v>
      </c>
      <c r="G67" s="34">
        <f t="shared" si="294"/>
        <v>107.07343410711907</v>
      </c>
      <c r="H67" s="34">
        <f t="shared" si="295"/>
        <v>112.92549357405207</v>
      </c>
      <c r="I67" s="34">
        <f t="shared" si="296"/>
        <v>119.7260302164336</v>
      </c>
      <c r="J67" s="34">
        <f t="shared" si="297"/>
        <v>127.62642887192709</v>
      </c>
      <c r="K67" s="34">
        <f t="shared" si="298"/>
        <v>136.73313090481065</v>
      </c>
      <c r="L67" s="34">
        <f t="shared" si="299"/>
        <v>147.23708115328793</v>
      </c>
      <c r="M67" s="34">
        <f t="shared" si="300"/>
        <v>159.35278249674079</v>
      </c>
      <c r="N67" s="34">
        <f t="shared" si="301"/>
        <v>173.36822134495549</v>
      </c>
      <c r="O67" s="14">
        <f t="shared" si="286"/>
        <v>6.315548753972533E-2</v>
      </c>
      <c r="P67" s="4"/>
      <c r="Q67" s="33" t="str">
        <f t="shared" ref="Q67:Q68" si="323">B67</f>
        <v>Western Australia</v>
      </c>
      <c r="R67" s="35">
        <f t="shared" ref="R67:R68" si="324">(D67/C67-1)*100</f>
        <v>3.2439583530927685</v>
      </c>
      <c r="S67" s="35">
        <f t="shared" ref="S67:S68" si="325">(E67/D67-1)*100</f>
        <v>3.7911121841250894</v>
      </c>
      <c r="T67" s="35">
        <f t="shared" ref="T67:T68" si="326">(F67/E67-1)*100</f>
        <v>4.3768895225537063</v>
      </c>
      <c r="U67" s="35">
        <f t="shared" ref="U67:U68" si="327">(G67/F67-1)*100</f>
        <v>4.9187236320131111</v>
      </c>
      <c r="V67" s="35">
        <f t="shared" ref="V67:V68" si="328">(H67/G67-1)*100</f>
        <v>5.4654635071090141</v>
      </c>
      <c r="W67" s="35">
        <f t="shared" ref="W67:W68" si="329">(I67/H67-1)*100</f>
        <v>6.0221447143129048</v>
      </c>
      <c r="X67" s="35">
        <f t="shared" ref="X67:X68" si="330">(J67/I67-1)*100</f>
        <v>6.5987309870807698</v>
      </c>
      <c r="Y67" s="35">
        <f t="shared" ref="Y67:Y68" si="331">(K67/J67-1)*100</f>
        <v>7.1354359072619111</v>
      </c>
      <c r="Z67" s="35">
        <f t="shared" ref="Z67:Z68" si="332">(L67/K67-1)*100</f>
        <v>7.6820812768412461</v>
      </c>
      <c r="AA67" s="35">
        <f t="shared" ref="AA67:AA68" si="333">(M67/L67-1)*100</f>
        <v>8.2287024766806169</v>
      </c>
      <c r="AB67" s="35">
        <f t="shared" ref="AB67:AB68" si="334">(N67/M67-1)*100</f>
        <v>8.7952269352443491</v>
      </c>
      <c r="AC67" s="38"/>
      <c r="AD67" s="33" t="str">
        <f t="shared" ref="AD67:AD68" si="335">Q67</f>
        <v>Western Australia</v>
      </c>
      <c r="AE67" s="1">
        <v>0.1459</v>
      </c>
      <c r="AF67" s="1">
        <v>0.1453909090909091</v>
      </c>
      <c r="AG67" s="1">
        <v>0.14488181818181817</v>
      </c>
      <c r="AH67" s="1">
        <v>0.14437272727272726</v>
      </c>
      <c r="AI67" s="1">
        <v>0.14386363636363636</v>
      </c>
      <c r="AJ67" s="1">
        <v>0.14335454545454546</v>
      </c>
      <c r="AK67" s="1">
        <v>0.14284545454545455</v>
      </c>
      <c r="AL67" s="1">
        <v>0.14233636363636365</v>
      </c>
      <c r="AM67" s="1">
        <v>0.14182727272727272</v>
      </c>
      <c r="AN67" s="1">
        <v>0.14131818181818182</v>
      </c>
      <c r="AO67" s="1">
        <v>0.14080909090909091</v>
      </c>
      <c r="AP67" s="1">
        <v>0.14030000000000001</v>
      </c>
      <c r="AR67" s="33" t="str">
        <f t="shared" si="320"/>
        <v>South Australia</v>
      </c>
      <c r="AS67" s="7">
        <f t="shared" si="321"/>
        <v>8.2472727272727267E-2</v>
      </c>
      <c r="AT67" s="7">
        <f t="shared" si="322"/>
        <v>7.5600000000000001E-2</v>
      </c>
    </row>
    <row r="68" spans="2:46" x14ac:dyDescent="0.2">
      <c r="B68" t="s">
        <v>38</v>
      </c>
      <c r="C68" s="34">
        <f t="shared" si="290"/>
        <v>55.158552820891515</v>
      </c>
      <c r="D68" s="34">
        <f t="shared" si="291"/>
        <v>56.405105655886608</v>
      </c>
      <c r="E68" s="34">
        <f t="shared" si="292"/>
        <v>57.976182911202997</v>
      </c>
      <c r="F68" s="34">
        <f t="shared" si="293"/>
        <v>59.917426562327037</v>
      </c>
      <c r="G68" s="34">
        <f t="shared" si="294"/>
        <v>62.234530610886644</v>
      </c>
      <c r="H68" s="34">
        <f t="shared" si="295"/>
        <v>64.966711757486223</v>
      </c>
      <c r="I68" s="34">
        <f t="shared" si="296"/>
        <v>68.164517680660268</v>
      </c>
      <c r="J68" s="34">
        <f t="shared" si="297"/>
        <v>71.895324944139801</v>
      </c>
      <c r="K68" s="34">
        <f t="shared" si="298"/>
        <v>76.197541188797118</v>
      </c>
      <c r="L68" s="34">
        <f t="shared" si="299"/>
        <v>81.153252577765912</v>
      </c>
      <c r="M68" s="34">
        <f t="shared" si="300"/>
        <v>86.852359083058019</v>
      </c>
      <c r="N68" s="34">
        <f t="shared" si="301"/>
        <v>93.418656690510588</v>
      </c>
      <c r="O68" s="14">
        <f t="shared" si="286"/>
        <v>5.3257780638687358E-2</v>
      </c>
      <c r="P68" s="4"/>
      <c r="Q68" s="33" t="str">
        <f t="shared" si="323"/>
        <v>South Australia</v>
      </c>
      <c r="R68" s="35">
        <f t="shared" si="324"/>
        <v>2.2599447796298078</v>
      </c>
      <c r="S68" s="35">
        <f t="shared" si="325"/>
        <v>2.7853458247222074</v>
      </c>
      <c r="T68" s="35">
        <f t="shared" si="326"/>
        <v>3.3483467756014074</v>
      </c>
      <c r="U68" s="35">
        <f t="shared" si="327"/>
        <v>3.8671621621621632</v>
      </c>
      <c r="V68" s="35">
        <f t="shared" si="328"/>
        <v>4.3901369863013739</v>
      </c>
      <c r="W68" s="35">
        <f t="shared" si="329"/>
        <v>4.9222222222222278</v>
      </c>
      <c r="X68" s="35">
        <f t="shared" si="330"/>
        <v>5.4732394366197479</v>
      </c>
      <c r="Y68" s="35">
        <f t="shared" si="331"/>
        <v>5.9839999999999893</v>
      </c>
      <c r="Z68" s="35">
        <f t="shared" si="332"/>
        <v>6.5037681159420435</v>
      </c>
      <c r="AA68" s="35">
        <f t="shared" si="333"/>
        <v>7.022647058823539</v>
      </c>
      <c r="AB68" s="35">
        <f t="shared" si="334"/>
        <v>7.5602985074626927</v>
      </c>
      <c r="AC68" s="38"/>
      <c r="AD68" s="33" t="str">
        <f t="shared" si="335"/>
        <v>South Australia</v>
      </c>
      <c r="AE68" s="1">
        <v>8.8200000000000001E-2</v>
      </c>
      <c r="AF68" s="1">
        <v>8.7054545454545454E-2</v>
      </c>
      <c r="AG68" s="1">
        <v>8.5909090909090907E-2</v>
      </c>
      <c r="AH68" s="1">
        <v>8.476363636363636E-2</v>
      </c>
      <c r="AI68" s="1">
        <v>8.3618181818181814E-2</v>
      </c>
      <c r="AJ68" s="1">
        <v>8.2472727272727267E-2</v>
      </c>
      <c r="AK68" s="1">
        <v>8.132727272727272E-2</v>
      </c>
      <c r="AL68" s="1">
        <v>8.0181818181818187E-2</v>
      </c>
      <c r="AM68" s="1">
        <v>7.9036363636363627E-2</v>
      </c>
      <c r="AN68" s="1">
        <v>7.7890909090909094E-2</v>
      </c>
      <c r="AO68" s="1">
        <v>7.6745454545454547E-2</v>
      </c>
      <c r="AP68" s="1">
        <v>7.5600000000000001E-2</v>
      </c>
    </row>
    <row r="69" spans="2:46" x14ac:dyDescent="0.2"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94" spans="2:3" x14ac:dyDescent="0.2">
      <c r="B94" t="s">
        <v>40</v>
      </c>
    </row>
    <row r="96" spans="2:3" x14ac:dyDescent="0.2">
      <c r="C96" s="2" t="s">
        <v>39</v>
      </c>
    </row>
    <row r="99" spans="2:2" x14ac:dyDescent="0.2">
      <c r="B99" t="s">
        <v>41</v>
      </c>
    </row>
  </sheetData>
  <mergeCells count="30">
    <mergeCell ref="D16:M16"/>
    <mergeCell ref="Q16:Q18"/>
    <mergeCell ref="S16:AB16"/>
    <mergeCell ref="AD16:AD18"/>
    <mergeCell ref="AF16:AP16"/>
    <mergeCell ref="D4:M4"/>
    <mergeCell ref="Q4:Q6"/>
    <mergeCell ref="S4:AB4"/>
    <mergeCell ref="AD4:AD6"/>
    <mergeCell ref="AF4:AP4"/>
    <mergeCell ref="D38:M38"/>
    <mergeCell ref="Q38:Q40"/>
    <mergeCell ref="S38:AB38"/>
    <mergeCell ref="AD38:AD40"/>
    <mergeCell ref="AF38:AP38"/>
    <mergeCell ref="D26:M26"/>
    <mergeCell ref="Q26:Q28"/>
    <mergeCell ref="S26:AB26"/>
    <mergeCell ref="AD26:AD28"/>
    <mergeCell ref="AF26:AP26"/>
    <mergeCell ref="D49:M49"/>
    <mergeCell ref="Q49:Q51"/>
    <mergeCell ref="S49:AB49"/>
    <mergeCell ref="AD49:AD51"/>
    <mergeCell ref="AF49:AP49"/>
    <mergeCell ref="D60:M60"/>
    <mergeCell ref="Q60:Q62"/>
    <mergeCell ref="S60:AB60"/>
    <mergeCell ref="AD60:AD62"/>
    <mergeCell ref="AF60:AP60"/>
  </mergeCells>
  <conditionalFormatting sqref="R8:AB14 S15:AB15 R20:AB25">
    <cfRule type="containsText" dxfId="1" priority="1" operator="containsText" text="volume or kilo">
      <formula>NOT(ISERROR(SEARCH("volume or kilo",R8)))</formula>
    </cfRule>
    <cfRule type="containsText" dxfId="0" priority="2" operator="containsText" text="volume">
      <formula>NOT(ISERROR(SEARCH("volume",R8)))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2025-11-14T17:09:46Z</dcterms:modified>
</cp:coreProperties>
</file>